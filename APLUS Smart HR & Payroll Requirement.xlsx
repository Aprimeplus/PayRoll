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2. Web Apluswatsdu.com\HR Management\"/>
    </mc:Choice>
  </mc:AlternateContent>
  <xr:revisionPtr revIDLastSave="0" documentId="13_ncr:1_{F76FCADA-A237-40BC-BED7-989EB6DCE361}" xr6:coauthVersionLast="47" xr6:coauthVersionMax="47" xr10:uidLastSave="{00000000-0000-0000-0000-000000000000}"/>
  <bookViews>
    <workbookView xWindow="-108" yWindow="-108" windowWidth="23256" windowHeight="12456" activeTab="3" xr2:uid="{BF5DCF0F-0D1D-4482-9472-B899894D743D}"/>
  </bookViews>
  <sheets>
    <sheet name="Sheet1" sheetId="4" r:id="rId1"/>
    <sheet name="Payroll" sheetId="1" r:id="rId2"/>
    <sheet name="Slip" sheetId="2" r:id="rId3"/>
    <sheet name="Requirement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2" l="1"/>
  <c r="M13" i="2"/>
  <c r="M12" i="2"/>
  <c r="M10" i="2"/>
  <c r="M9" i="2"/>
  <c r="D16" i="2"/>
  <c r="D15" i="2"/>
  <c r="D12" i="2"/>
  <c r="D10" i="2"/>
  <c r="D9" i="2"/>
  <c r="M5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Q4" authorId="0" shapeId="0" xr:uid="{F3B9D7D1-702A-4050-B111-998E388FF008}">
      <text>
        <r>
          <rPr>
            <b/>
            <sz val="9"/>
            <color indexed="81"/>
            <rFont val="Tahoma"/>
            <charset val="222"/>
          </rPr>
          <t xml:space="preserve">อื่นๆ 
- หัก ขาด ลา สาย 
- ค่าเสียหาย
- </t>
        </r>
      </text>
    </comment>
  </commentList>
</comments>
</file>

<file path=xl/sharedStrings.xml><?xml version="1.0" encoding="utf-8"?>
<sst xmlns="http://schemas.openxmlformats.org/spreadsheetml/2006/main" count="494" uniqueCount="311">
  <si>
    <t>ตาราง คำนวณค่าจ้าง</t>
  </si>
  <si>
    <t>จ่ายวันที่</t>
  </si>
  <si>
    <t>8/29/2025</t>
  </si>
  <si>
    <t>ลำดับ</t>
  </si>
  <si>
    <t>รหัสพนักงาน</t>
  </si>
  <si>
    <t>ชื่อ - นามสกุล</t>
  </si>
  <si>
    <t>ตำแหน่ง</t>
  </si>
  <si>
    <t>แผนก</t>
  </si>
  <si>
    <t>อัตราเงินเดือน</t>
  </si>
  <si>
    <t>เงินได้</t>
  </si>
  <si>
    <t>เงินหัก</t>
  </si>
  <si>
    <t>รวมเงินได้สุทธิ</t>
  </si>
  <si>
    <t>เงินเดือน</t>
  </si>
  <si>
    <t>ค่าตำแหน่ง</t>
  </si>
  <si>
    <t>ค่าล่วงเวลา</t>
  </si>
  <si>
    <t>คอมมิชชั่น</t>
  </si>
  <si>
    <t>โบนัส</t>
  </si>
  <si>
    <t>เงินได้อื่นๆ</t>
  </si>
  <si>
    <t>รวมเงินได้</t>
  </si>
  <si>
    <t>ประกันสังคม</t>
  </si>
  <si>
    <t>ภาษีเงินได้</t>
  </si>
  <si>
    <t>หักเงินกู้ยืม</t>
  </si>
  <si>
    <t>หักอื่นๆ</t>
  </si>
  <si>
    <t>รวมเงินหัก</t>
  </si>
  <si>
    <t>Emp.001</t>
  </si>
  <si>
    <t>นาย A</t>
  </si>
  <si>
    <t>หัวหน้าแผนกการตลาดและการขาย</t>
  </si>
  <si>
    <t>การตลาดและการขาย</t>
  </si>
  <si>
    <t>-</t>
  </si>
  <si>
    <t>Emp.002</t>
  </si>
  <si>
    <t>นาย B</t>
  </si>
  <si>
    <t>เจ้าหน้าที่ตัวแทนขาย</t>
  </si>
  <si>
    <t>Emp.003</t>
  </si>
  <si>
    <t>นาย C</t>
  </si>
  <si>
    <t>เจ้าหน้าที่การตลาด</t>
  </si>
  <si>
    <t>Emp.004</t>
  </si>
  <si>
    <t>นาย D</t>
  </si>
  <si>
    <t>หัวหน้าแผนกบัญชีและการเงิน</t>
  </si>
  <si>
    <t>บัญชีและการเงิน</t>
  </si>
  <si>
    <t>Emp.005</t>
  </si>
  <si>
    <t>นาย M</t>
  </si>
  <si>
    <t>เจ้าหน้าที่บัญชี</t>
  </si>
  <si>
    <t>Emp.006</t>
  </si>
  <si>
    <t>นาย S</t>
  </si>
  <si>
    <t>เจ้าหน้าที่การเงิน</t>
  </si>
  <si>
    <t>Emp.007</t>
  </si>
  <si>
    <t>นาย O</t>
  </si>
  <si>
    <t>หัวหน้าคลังสินค้าและจัดส่ง</t>
  </si>
  <si>
    <t>คลังสินค้าและจัดส่ง</t>
  </si>
  <si>
    <t>Emp.008</t>
  </si>
  <si>
    <t>นาย X</t>
  </si>
  <si>
    <t>เจ้าหน้าที่คลังสินค้า</t>
  </si>
  <si>
    <t>Emp.009</t>
  </si>
  <si>
    <t>นาย P</t>
  </si>
  <si>
    <t>เจ้าหน้าที่จัดส่ง</t>
  </si>
  <si>
    <t>Emp.010</t>
  </si>
  <si>
    <t>นาย J</t>
  </si>
  <si>
    <t>รวมทั้งสิ้น</t>
  </si>
  <si>
    <t>หัวกระดาษบริษัท</t>
  </si>
  <si>
    <t>*** ลิ้งค์ ข้อมูล ด้วย รหัสพนักงาน</t>
  </si>
  <si>
    <t>ใบจ่ายเงินเดือน (Pay Slip)</t>
  </si>
  <si>
    <t>เปลี่ยน รหัสพนักงาน ข้อมูลเปลี่ยนตาม</t>
  </si>
  <si>
    <t>รหัสพนักงาน :</t>
  </si>
  <si>
    <t>ตำแหน่ง :</t>
  </si>
  <si>
    <t>ชื่อ - นามสกุล :</t>
  </si>
  <si>
    <t>แผนก :</t>
  </si>
  <si>
    <t>วันที่จ่าย :</t>
  </si>
  <si>
    <t>ค่าจ้างเดือน :</t>
  </si>
  <si>
    <t>สิงหาคม</t>
  </si>
  <si>
    <t>บาท</t>
  </si>
  <si>
    <t>เงินอื่นๆ</t>
  </si>
  <si>
    <t>ลงชื่อผู้จ่ายเงิน</t>
  </si>
  <si>
    <t>ลงชื่อผู้รับเงิน</t>
  </si>
  <si>
    <t xml:space="preserve">หัวหน้าแผนกการตลาดและการขาย					</t>
  </si>
  <si>
    <t>หักกู้ยืม กยส.</t>
  </si>
  <si>
    <t>หัก
กู้ยืม กยส</t>
  </si>
  <si>
    <t xml:space="preserve">การรันรหัสพนักงาน </t>
  </si>
  <si>
    <t>ชื่อ</t>
  </si>
  <si>
    <t>นามสกุล</t>
  </si>
  <si>
    <t>ประเภทการว่างจ้าง</t>
  </si>
  <si>
    <t>พนักงานประจำ</t>
  </si>
  <si>
    <t>พนักงานสัญญาจ้างรายปี</t>
  </si>
  <si>
    <t>สัญญาจ้างเหมารายวัน</t>
  </si>
  <si>
    <t>สัญญาจ้างเหมารายปี</t>
  </si>
  <si>
    <t>สัญญาจ้างเหมารายเดือน</t>
  </si>
  <si>
    <t>ที่อยู่ตามบัตรประชาชน</t>
  </si>
  <si>
    <t>บัตรประจำตัวประชาชน</t>
  </si>
  <si>
    <t>ฝ่ายงาน</t>
  </si>
  <si>
    <t>วันที่/เดือน/ปี ที่เริ่มงาน</t>
  </si>
  <si>
    <t>วันที่/เดือน/ปี ที่พันสภาพ</t>
  </si>
  <si>
    <t>สถาณะพนักงาน</t>
  </si>
  <si>
    <t xml:space="preserve">ระหว่างทดลองงาน </t>
  </si>
  <si>
    <t>พ้นสภาพพนักงาน</t>
  </si>
  <si>
    <t>กำหนดการยื่นเข้าประกันสังคม</t>
  </si>
  <si>
    <t>สวัสดิการอื่นๆ</t>
  </si>
  <si>
    <t>1. ค่าที่พัก</t>
  </si>
  <si>
    <t>2. สิทธิ์ที่พักฟรี</t>
  </si>
  <si>
    <t>3. ค่าอาหาร</t>
  </si>
  <si>
    <t>4. ค่าเดินทาง</t>
  </si>
  <si>
    <t>5. ค่าน้ำมัน</t>
  </si>
  <si>
    <t>6. ค่าที่พัก ต่างจังหวัด</t>
  </si>
  <si>
    <t>7. ค่าเสื่อมรถยนต์</t>
  </si>
  <si>
    <t>ติ๊กเลือก และ ระบุยอดเป็นจำนวนเงิน</t>
  </si>
  <si>
    <t>จำนวน</t>
  </si>
  <si>
    <t>ฐานเงินเดือนแรกเข้า</t>
  </si>
  <si>
    <t>ประวัติการปรับเงินเดือนรายปี</t>
  </si>
  <si>
    <t>Drop down ปี 2569/2570/2571/2572/2573</t>
  </si>
  <si>
    <t>เงินเดือนปรับใหม่</t>
  </si>
  <si>
    <t>xxxxxxx</t>
  </si>
  <si>
    <t>ครั้ง 1</t>
  </si>
  <si>
    <t>ครั้ง 2</t>
  </si>
  <si>
    <t>ครั้ง 3</t>
  </si>
  <si>
    <t>ครั้ง 4</t>
  </si>
  <si>
    <t>ประวัติการปรับตำแหน่ง</t>
  </si>
  <si>
    <t>ตำแหน่งใหม่</t>
  </si>
  <si>
    <t>ตำแหน่งงาน / ฝ่ายงาน</t>
  </si>
  <si>
    <t>วัน / เดือน / ปีเกิด /อายุ</t>
  </si>
  <si>
    <t>อายุงาน</t>
  </si>
  <si>
    <t>logic ให้นำ (วันที่ปัจจุบัน - วันที่เริ่มงาน ) แสดงผล เป็น ปี และ เดือน และ วัน เช่น ทำงานมา 1 ปี 2 เดือน 3 วัน</t>
  </si>
  <si>
    <t>หัวข้อ</t>
  </si>
  <si>
    <t>Requirement</t>
  </si>
  <si>
    <t>Details</t>
  </si>
  <si>
    <t>ปัญหาด้านสุขภาพ</t>
  </si>
  <si>
    <t>หนังสือค้ำประกัน</t>
  </si>
  <si>
    <t>มี / ไม่มี</t>
  </si>
  <si>
    <t>ข้อมูลทางบัญชีการโอนเงินดือน</t>
  </si>
  <si>
    <t>ประเภทบัญชี</t>
  </si>
  <si>
    <t>เลขบัญชี</t>
  </si>
  <si>
    <t>ธนาคาร</t>
  </si>
  <si>
    <t>สาขา</t>
  </si>
  <si>
    <t>ชื่อบัญชี</t>
  </si>
  <si>
    <t>Objective</t>
  </si>
  <si>
    <t>KR1</t>
  </si>
  <si>
    <t>KR2</t>
  </si>
  <si>
    <t>รวบข้อมูลพนักงานใหม่ / เก่า</t>
  </si>
  <si>
    <t>Data Centralization - APLUS SAMRT HR &amp; Payroll Management</t>
  </si>
  <si>
    <t>ทะเบียนพนักงาน</t>
  </si>
  <si>
    <t xml:space="preserve">มีการ Add พนักงนใหม่ </t>
  </si>
  <si>
    <t>การปฎิบัติงาน</t>
  </si>
  <si>
    <t>การลางาน (ประเภทการลา)</t>
  </si>
  <si>
    <t>สาย (จำนวนชั่วโมง / นาทีสาย)</t>
  </si>
  <si>
    <t>8. ค่าโทรศัพท์</t>
  </si>
  <si>
    <t>ref. คิดเงินได้จากพี่เล็ก</t>
  </si>
  <si>
    <t>ค่าใช้จ่ายประเภทไหนที่ จัดเป็นรายได้</t>
  </si>
  <si>
    <t>หนี้สินที่เกิดขึ้น</t>
  </si>
  <si>
    <t>OT</t>
  </si>
  <si>
    <t>Commission</t>
  </si>
  <si>
    <t>Aplus Commission</t>
  </si>
  <si>
    <t>Pay in Slip</t>
  </si>
  <si>
    <t>ผลการประเมินการทำงานประจำปี</t>
  </si>
  <si>
    <t>การปรับเงินเดือน</t>
  </si>
  <si>
    <t>หยอดคะแนน manual</t>
  </si>
  <si>
    <t>ผ่านช่วยทดลองงานแล้ว</t>
  </si>
  <si>
    <t>พนักงานฝึกงาน</t>
  </si>
  <si>
    <t>ให้ดึงประวัติการปรับเงินเดือน</t>
  </si>
  <si>
    <t>ให้ดึงประวัติการปรับตำแหน่ง</t>
  </si>
  <si>
    <t>Report</t>
  </si>
  <si>
    <t>รหัส</t>
  </si>
  <si>
    <t>ชื่อพนักงาน</t>
  </si>
  <si>
    <t>ค่าเบี้ยเลี้ยง</t>
  </si>
  <si>
    <t>ค่า Incentive</t>
  </si>
  <si>
    <t xml:space="preserve">1. Yearly summary </t>
  </si>
  <si>
    <t>2. Monthly summary</t>
  </si>
  <si>
    <t>ตาราง payroll</t>
  </si>
  <si>
    <t>Report Summary</t>
  </si>
  <si>
    <t>แยกรายบุคคล</t>
  </si>
  <si>
    <t>แยกรวมทุกคน</t>
  </si>
  <si>
    <t>*สามารถเลือกข้อมูล</t>
  </si>
  <si>
    <t>หน้าคำนวนค่าแรงพนักงานรายวัน</t>
  </si>
  <si>
    <t>พนักงานรายวัน คลัง การคำนวณค่าแรง</t>
  </si>
  <si>
    <t>ภงด 1 -  รายเดือน</t>
  </si>
  <si>
    <t>ภงด 1ก -  รายปี</t>
  </si>
  <si>
    <t>มาตรา 50 ทวิ - รายปี</t>
  </si>
  <si>
    <t>ดึงการจาก - ผลรวมของ ภงด 1</t>
  </si>
  <si>
    <t>สำคัญ</t>
  </si>
  <si>
    <t>ref. จากพี่เล็ก เรื่อง Fomat report</t>
  </si>
  <si>
    <t>Development Duration</t>
  </si>
  <si>
    <t>Launch Date</t>
  </si>
  <si>
    <t>Trial Period</t>
  </si>
  <si>
    <t>9. เบี้ยเลี้ยง</t>
  </si>
  <si>
    <t>กำหนดการยื่นเข้าประกันสังคม / กำหนดการยื่นออก</t>
  </si>
  <si>
    <t>บุคคลค้ำประกัน / เบอร์ติด่อ</t>
  </si>
  <si>
    <t>แนบ หนังสื่อค้ำประกัน</t>
  </si>
  <si>
    <t>เอกสารประกอบหนังค้ำประกัน</t>
  </si>
  <si>
    <t>เบอร์โทร พนักงน</t>
  </si>
  <si>
    <t>Reference Co. Project P' Prince</t>
  </si>
  <si>
    <t>ประวัติการทำงาน</t>
  </si>
  <si>
    <t>ขาดงาน</t>
  </si>
  <si>
    <t>ลาป่วย</t>
  </si>
  <si>
    <t>ลาพักร้อนประจำปี</t>
  </si>
  <si>
    <t xml:space="preserve">ลาบวช </t>
  </si>
  <si>
    <t>ลาคลอด</t>
  </si>
  <si>
    <t>จำนวนสิทธ์การ ลามาตราฐาน ตามกรมแรงงาน</t>
  </si>
  <si>
    <t>วัน</t>
  </si>
  <si>
    <t>set default ตามกรมแรงงาน</t>
  </si>
  <si>
    <t>ใส่เพิ่ม มีลาอะไรอีก</t>
  </si>
  <si>
    <t>set default ตามกรมแรงงาน / ลาพักร้อน เพิ่มให้ตามอายุได้</t>
  </si>
  <si>
    <t>1 พย 2568 -14.00 น.</t>
  </si>
  <si>
    <t>ระบบ HR Management &amp; Payroll</t>
  </si>
  <si>
    <t>Log in</t>
  </si>
  <si>
    <t xml:space="preserve">Permission Role </t>
  </si>
  <si>
    <t>HR ADMIN</t>
  </si>
  <si>
    <t xml:space="preserve">HR Manager </t>
  </si>
  <si>
    <t>AC Manager</t>
  </si>
  <si>
    <t>CEO</t>
  </si>
  <si>
    <t>Khun Get / Khun View</t>
  </si>
  <si>
    <t>P lek</t>
  </si>
  <si>
    <t>P-yu</t>
  </si>
  <si>
    <t>Khun Get - รักษาการ</t>
  </si>
  <si>
    <t xml:space="preserve">Edit </t>
  </si>
  <si>
    <t>Edit /Approval/Delete</t>
  </si>
  <si>
    <t>Report Fuction</t>
  </si>
  <si>
    <t xml:space="preserve">Excel </t>
  </si>
  <si>
    <t>PDF</t>
  </si>
  <si>
    <t>ok</t>
  </si>
  <si>
    <t>นักศึกษาฝึกงาน</t>
  </si>
  <si>
    <t>ที่ปรึกษา</t>
  </si>
  <si>
    <t>ตั้งเอง APXXXXX</t>
  </si>
  <si>
    <t>กลุ่มพิเศษ รันรหัสการจ้าง
EP001</t>
  </si>
  <si>
    <t>10. ค่าตำแหน่ง</t>
  </si>
  <si>
    <t>รอเพิ่ม</t>
  </si>
  <si>
    <t>รอ</t>
  </si>
  <si>
    <t>ระบบปฎิทิน</t>
  </si>
  <si>
    <t>เป็น calendar</t>
  </si>
  <si>
    <t>ข้อมูลการจ้าง</t>
  </si>
  <si>
    <t>วงเงินค้ำประกัน</t>
  </si>
  <si>
    <t>หลักทรัพย์ค้ำประกัน</t>
  </si>
  <si>
    <t xml:space="preserve">บุคคลค้ำประกัน </t>
  </si>
  <si>
    <t>1.10.1</t>
  </si>
  <si>
    <t>การค้ำประกัน</t>
  </si>
  <si>
    <t>ระบุ.................................</t>
  </si>
  <si>
    <t>1.5 เท่าของเงินเดือน</t>
  </si>
  <si>
    <t>2.0 เท่าของเงินเดือน</t>
  </si>
  <si>
    <t>drop down</t>
  </si>
  <si>
    <t>อื่น .......ระบุ</t>
  </si>
  <si>
    <t>ระบุยอดเต็ม.............</t>
  </si>
  <si>
    <t>ที่อยู่พักอาศัย / ตามทะเบียนบ้าน</t>
  </si>
  <si>
    <t>upload file …jpeg / pdf</t>
  </si>
  <si>
    <t>ลากิจ</t>
  </si>
  <si>
    <t>ระบุวันที่พ้นสภาพงาน</t>
  </si>
  <si>
    <t>สาเหตุ.....................</t>
  </si>
  <si>
    <t>การปรับตำแหน่ง / ฝ่ายงาน รายปี</t>
  </si>
  <si>
    <t xml:space="preserve">Probation </t>
  </si>
  <si>
    <t>ผลประเมินการทดลองงาน</t>
  </si>
  <si>
    <t>เกณฑ์คะแนน</t>
  </si>
  <si>
    <t>ประวัติการทำงานปัจจุบัน</t>
  </si>
  <si>
    <t>Probation Period</t>
  </si>
  <si>
    <t>Set Default</t>
  </si>
  <si>
    <t>ต่อทดลองงาน</t>
  </si>
  <si>
    <t>30 วัน</t>
  </si>
  <si>
    <t>90 วัน</t>
  </si>
  <si>
    <t>check box</t>
  </si>
  <si>
    <t>วันสิ้นสุดช่วงทดลองงาน</t>
  </si>
  <si>
    <t>คำนวณตามวันที่เข้างาน + 90 วัน ขึ้น วันที่ที่ควรได้รับการประเมิน ล่วงหน้า 15 วัน</t>
  </si>
  <si>
    <t>default requirement</t>
  </si>
  <si>
    <t>ผ่าน  75% ++</t>
  </si>
  <si>
    <t>ไม่ผ่าน น้อยกว่า 75%</t>
  </si>
  <si>
    <t>ระบุ...75% / 85% manual</t>
  </si>
  <si>
    <t>Payroll ระบบคำนวณเงินเดือน</t>
  </si>
  <si>
    <t>สรุปรายการต่อคน รายเดือน / รายปี</t>
  </si>
  <si>
    <t xml:space="preserve">สรุป Report ขาดลา มาสาย รายเดือน / รายปี - maximum / ปี </t>
  </si>
  <si>
    <t xml:space="preserve">Company Profile </t>
  </si>
  <si>
    <t>เลขประจำตัวผู้เสียภาษี</t>
  </si>
  <si>
    <t>จำนวนพนักงานแต่ละแผนก</t>
  </si>
  <si>
    <t xml:space="preserve">จำนวนพนักงานประจำปี 2568  </t>
  </si>
  <si>
    <t xml:space="preserve">เลือกปี drop down / โชว์ จำนวน คน </t>
  </si>
  <si>
    <t>คน</t>
  </si>
  <si>
    <t>ฝ่ายบัญชี</t>
  </si>
  <si>
    <t>ฝ่ายบุคคล</t>
  </si>
  <si>
    <t>ฝ่ายจัดซื้อและกลยุทธราคา</t>
  </si>
  <si>
    <t>ฝ่ายคลังสินค้า</t>
  </si>
  <si>
    <t>อัตรากำลังแต่ละแผนก</t>
  </si>
  <si>
    <t>ฝ่ายจัดส่ง</t>
  </si>
  <si>
    <t>ฝายขาย Inbound</t>
  </si>
  <si>
    <t>ฝายขาย outbound</t>
  </si>
  <si>
    <t>ฝ่ายการตลาดและออนไลน์</t>
  </si>
  <si>
    <t>ฝายขาย Ecommerce</t>
  </si>
  <si>
    <t>แม่บ้าน</t>
  </si>
  <si>
    <t xml:space="preserve">ข้อมูลบริษัท </t>
  </si>
  <si>
    <t>คลังสินค้า 1 /ที่อยู่/ แผนที่ google link</t>
  </si>
  <si>
    <t>คลังสินค้า 2 /ที่อยู่/ แผนที่ google link</t>
  </si>
  <si>
    <t>คลังสินค้า 3 /ที่อยู่/ แผนที่ google link</t>
  </si>
  <si>
    <t xml:space="preserve">สำนักงานใหญ่ที่อยู่/ แผนที่ google link </t>
  </si>
  <si>
    <t xml:space="preserve">สามารถเพิ่ม ประเภทที่อยู่ได้ </t>
  </si>
  <si>
    <t>ประเภทสำนักงาน - dropdown</t>
  </si>
  <si>
    <t>1. สำนักงานใหญ่</t>
  </si>
  <si>
    <t>2. สาขา</t>
  </si>
  <si>
    <t>3. คลังสินค้า</t>
  </si>
  <si>
    <t>สามารถมี หลายคลังได้</t>
  </si>
  <si>
    <t>สามารถมี หลายสาขาได้</t>
  </si>
  <si>
    <t>ประวัติการตักเตือน</t>
  </si>
  <si>
    <t>ตักเตือนทางวาจา ครั้ง 1</t>
  </si>
  <si>
    <t>ตักเตือนทางวาจา ครั้ง 2</t>
  </si>
  <si>
    <t>ตักเตือนทางวาจา มากกว่า 2 ครั้ง</t>
  </si>
  <si>
    <t>หนังสือตักเตือนครั้งที่ 1</t>
  </si>
  <si>
    <t>หนังสือตักเตือนครั้งที่ 2</t>
  </si>
  <si>
    <t>หนังสือเลิกจ้าง</t>
  </si>
  <si>
    <t>เพิ่ม 14/11/68</t>
  </si>
  <si>
    <t>ระดับ Droopdown / upload เอกสารได้</t>
  </si>
  <si>
    <t>วันหยุดประจำปี</t>
  </si>
  <si>
    <t xml:space="preserve">เลือกปี </t>
  </si>
  <si>
    <t>upload ตารางวันหยัด</t>
  </si>
  <si>
    <t xml:space="preserve">ตัวอย่างตาราง </t>
  </si>
  <si>
    <t>วัน/เดือน/ปี</t>
  </si>
  <si>
    <t>รายละเอียดวันหยุด</t>
  </si>
  <si>
    <t>วันหยุดประจำปีใหม่</t>
  </si>
  <si>
    <t>การคำนวณเงินเดือนพนักงานรายวัน</t>
  </si>
  <si>
    <t>การคำนวณเงินเดือนพนักงานรายเดือน</t>
  </si>
  <si>
    <t>รอตารางตัวอย่าง คำนวณจากพี่วิว</t>
  </si>
  <si>
    <t>Next update</t>
  </si>
  <si>
    <t>13.00-14.00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</si>
</sst>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5"/>
      <color theme="1"/>
      <name val="Angsana New"/>
      <family val="1"/>
    </font>
    <font>
      <b/>
      <sz val="15"/>
      <color theme="1"/>
      <name val="Angsana New"/>
      <family val="1"/>
    </font>
    <font>
      <b/>
      <sz val="24"/>
      <color theme="1"/>
      <name val="Angsana New"/>
      <family val="1"/>
    </font>
    <font>
      <b/>
      <sz val="17"/>
      <color theme="1"/>
      <name val="Angsana New"/>
      <family val="1"/>
    </font>
    <font>
      <sz val="11"/>
      <color rgb="FFFF0000"/>
      <name val="Calibri"/>
      <family val="2"/>
      <charset val="222"/>
      <scheme val="minor"/>
    </font>
    <font>
      <b/>
      <sz val="9"/>
      <color indexed="81"/>
      <name val="Tahoma"/>
      <charset val="22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BE9F7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84E291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3" fontId="2" fillId="0" borderId="3" xfId="0" applyNumberFormat="1" applyFont="1" applyBorder="1" applyAlignment="1">
      <alignment horizontal="right" wrapText="1"/>
    </xf>
    <xf numFmtId="3" fontId="2" fillId="2" borderId="3" xfId="0" applyNumberFormat="1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wrapText="1"/>
    </xf>
    <xf numFmtId="3" fontId="3" fillId="2" borderId="3" xfId="0" applyNumberFormat="1" applyFont="1" applyFill="1" applyBorder="1" applyAlignment="1">
      <alignment horizontal="right" wrapText="1"/>
    </xf>
    <xf numFmtId="0" fontId="2" fillId="3" borderId="3" xfId="0" applyFont="1" applyFill="1" applyBorder="1" applyAlignment="1">
      <alignment horizontal="right" wrapText="1"/>
    </xf>
    <xf numFmtId="3" fontId="2" fillId="3" borderId="3" xfId="0" applyNumberFormat="1" applyFont="1" applyFill="1" applyBorder="1" applyAlignment="1">
      <alignment horizontal="right" wrapText="1"/>
    </xf>
    <xf numFmtId="3" fontId="3" fillId="3" borderId="3" xfId="0" applyNumberFormat="1" applyFont="1" applyFill="1" applyBorder="1" applyAlignment="1">
      <alignment horizontal="right" wrapText="1"/>
    </xf>
    <xf numFmtId="3" fontId="3" fillId="4" borderId="3" xfId="0" applyNumberFormat="1" applyFont="1" applyFill="1" applyBorder="1" applyAlignment="1">
      <alignment horizontal="right" wrapText="1"/>
    </xf>
    <xf numFmtId="3" fontId="3" fillId="5" borderId="3" xfId="0" applyNumberFormat="1" applyFont="1" applyFill="1" applyBorder="1" applyAlignment="1">
      <alignment horizontal="right" wrapText="1"/>
    </xf>
    <xf numFmtId="0" fontId="3" fillId="5" borderId="3" xfId="0" applyFont="1" applyFill="1" applyBorder="1" applyAlignment="1">
      <alignment horizontal="right" wrapText="1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wrapText="1"/>
    </xf>
    <xf numFmtId="0" fontId="5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3" fontId="2" fillId="0" borderId="16" xfId="0" applyNumberFormat="1" applyFont="1" applyBorder="1" applyAlignment="1">
      <alignment horizontal="right" wrapText="1"/>
    </xf>
    <xf numFmtId="3" fontId="2" fillId="0" borderId="17" xfId="0" applyNumberFormat="1" applyFont="1" applyBorder="1" applyAlignment="1">
      <alignment horizontal="right" wrapText="1"/>
    </xf>
    <xf numFmtId="3" fontId="2" fillId="0" borderId="18" xfId="0" applyNumberFormat="1" applyFont="1" applyBorder="1" applyAlignment="1">
      <alignment horizontal="right" wrapText="1"/>
    </xf>
    <xf numFmtId="0" fontId="2" fillId="0" borderId="16" xfId="0" applyFont="1" applyBorder="1" applyAlignment="1">
      <alignment horizontal="right" wrapText="1"/>
    </xf>
    <xf numFmtId="0" fontId="2" fillId="0" borderId="17" xfId="0" applyFont="1" applyBorder="1" applyAlignment="1">
      <alignment horizontal="right" wrapText="1"/>
    </xf>
    <xf numFmtId="0" fontId="2" fillId="0" borderId="18" xfId="0" applyFont="1" applyBorder="1" applyAlignment="1">
      <alignment horizontal="right" wrapText="1"/>
    </xf>
    <xf numFmtId="2" fontId="0" fillId="0" borderId="0" xfId="0" applyNumberFormat="1"/>
    <xf numFmtId="164" fontId="0" fillId="0" borderId="0" xfId="0" applyNumberFormat="1"/>
    <xf numFmtId="0" fontId="0" fillId="7" borderId="0" xfId="0" applyFill="1"/>
    <xf numFmtId="0" fontId="6" fillId="0" borderId="0" xfId="0" applyFont="1"/>
    <xf numFmtId="0" fontId="8" fillId="0" borderId="0" xfId="0" applyFont="1"/>
    <xf numFmtId="0" fontId="8" fillId="7" borderId="0" xfId="0" applyFont="1" applyFill="1"/>
    <xf numFmtId="0" fontId="0" fillId="10" borderId="0" xfId="0" applyFill="1" applyAlignment="1">
      <alignment horizontal="center"/>
    </xf>
    <xf numFmtId="0" fontId="0" fillId="0" borderId="0" xfId="0" applyAlignment="1">
      <alignment vertical="center"/>
    </xf>
    <xf numFmtId="0" fontId="0" fillId="11" borderId="0" xfId="0" applyFill="1"/>
    <xf numFmtId="0" fontId="8" fillId="11" borderId="0" xfId="0" applyFont="1" applyFill="1"/>
    <xf numFmtId="0" fontId="9" fillId="0" borderId="0" xfId="0" applyFont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 wrapText="1"/>
    </xf>
    <xf numFmtId="0" fontId="3" fillId="5" borderId="9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5" fillId="6" borderId="7" xfId="0" applyNumberFormat="1" applyFont="1" applyFill="1" applyBorder="1" applyAlignment="1">
      <alignment horizontal="right" wrapText="1"/>
    </xf>
    <xf numFmtId="3" fontId="5" fillId="6" borderId="8" xfId="0" applyNumberFormat="1" applyFont="1" applyFill="1" applyBorder="1" applyAlignment="1">
      <alignment horizontal="right" wrapText="1"/>
    </xf>
    <xf numFmtId="0" fontId="3" fillId="6" borderId="7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center" wrapText="1"/>
    </xf>
    <xf numFmtId="3" fontId="3" fillId="6" borderId="7" xfId="0" applyNumberFormat="1" applyFont="1" applyFill="1" applyBorder="1" applyAlignment="1">
      <alignment horizontal="center" wrapText="1"/>
    </xf>
    <xf numFmtId="3" fontId="3" fillId="6" borderId="8" xfId="0" applyNumberFormat="1" applyFont="1" applyFill="1" applyBorder="1" applyAlignment="1">
      <alignment horizontal="center" wrapText="1"/>
    </xf>
    <xf numFmtId="0" fontId="3" fillId="6" borderId="8" xfId="0" applyFont="1" applyFill="1" applyBorder="1" applyAlignment="1">
      <alignment wrapText="1"/>
    </xf>
    <xf numFmtId="0" fontId="3" fillId="6" borderId="9" xfId="0" applyFont="1" applyFill="1" applyBorder="1" applyAlignment="1">
      <alignment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19" xfId="0" applyFont="1" applyBorder="1" applyAlignment="1">
      <alignment horizontal="right" wrapText="1"/>
    </xf>
    <xf numFmtId="0" fontId="2" fillId="0" borderId="20" xfId="0" applyFont="1" applyBorder="1" applyAlignment="1">
      <alignment horizontal="right" wrapText="1"/>
    </xf>
    <xf numFmtId="0" fontId="2" fillId="0" borderId="21" xfId="0" applyFont="1" applyBorder="1" applyAlignment="1">
      <alignment horizontal="right" wrapText="1"/>
    </xf>
    <xf numFmtId="0" fontId="2" fillId="0" borderId="19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3" fontId="2" fillId="0" borderId="16" xfId="0" applyNumberFormat="1" applyFont="1" applyBorder="1" applyAlignment="1">
      <alignment horizontal="right" wrapText="1"/>
    </xf>
    <xf numFmtId="3" fontId="2" fillId="0" borderId="17" xfId="0" applyNumberFormat="1" applyFont="1" applyBorder="1" applyAlignment="1">
      <alignment horizontal="right" wrapText="1"/>
    </xf>
    <xf numFmtId="3" fontId="2" fillId="0" borderId="18" xfId="0" applyNumberFormat="1" applyFont="1" applyBorder="1" applyAlignment="1">
      <alignment horizontal="right" wrapText="1"/>
    </xf>
    <xf numFmtId="0" fontId="2" fillId="0" borderId="16" xfId="0" applyFont="1" applyBorder="1" applyAlignment="1">
      <alignment horizontal="right" wrapText="1"/>
    </xf>
    <xf numFmtId="0" fontId="2" fillId="0" borderId="17" xfId="0" applyFont="1" applyBorder="1" applyAlignment="1">
      <alignment horizontal="right" wrapText="1"/>
    </xf>
    <xf numFmtId="0" fontId="2" fillId="0" borderId="18" xfId="0" applyFont="1" applyBorder="1" applyAlignment="1">
      <alignment horizontal="right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15" fontId="2" fillId="0" borderId="19" xfId="0" applyNumberFormat="1" applyFont="1" applyBorder="1" applyAlignment="1">
      <alignment wrapText="1"/>
    </xf>
    <xf numFmtId="15" fontId="2" fillId="0" borderId="20" xfId="0" applyNumberFormat="1" applyFont="1" applyBorder="1" applyAlignment="1">
      <alignment wrapText="1"/>
    </xf>
    <xf numFmtId="15" fontId="2" fillId="0" borderId="21" xfId="0" applyNumberFormat="1" applyFont="1" applyBorder="1" applyAlignment="1">
      <alignment wrapText="1"/>
    </xf>
    <xf numFmtId="0" fontId="3" fillId="8" borderId="7" xfId="0" applyFont="1" applyFill="1" applyBorder="1" applyAlignment="1">
      <alignment horizontal="center" wrapText="1"/>
    </xf>
    <xf numFmtId="0" fontId="3" fillId="8" borderId="8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wrapText="1"/>
    </xf>
    <xf numFmtId="0" fontId="3" fillId="9" borderId="7" xfId="0" applyFont="1" applyFill="1" applyBorder="1" applyAlignment="1">
      <alignment horizontal="center" wrapText="1"/>
    </xf>
    <xf numFmtId="0" fontId="3" fillId="9" borderId="8" xfId="0" applyFont="1" applyFill="1" applyBorder="1" applyAlignment="1">
      <alignment horizontal="center" wrapText="1"/>
    </xf>
    <xf numFmtId="0" fontId="3" fillId="9" borderId="9" xfId="0" applyFont="1" applyFill="1" applyBorder="1" applyAlignment="1">
      <alignment horizont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3" fontId="2" fillId="0" borderId="13" xfId="0" applyNumberFormat="1" applyFont="1" applyBorder="1" applyAlignment="1">
      <alignment horizontal="right" wrapText="1"/>
    </xf>
    <xf numFmtId="3" fontId="2" fillId="0" borderId="14" xfId="0" applyNumberFormat="1" applyFont="1" applyBorder="1" applyAlignment="1">
      <alignment horizontal="right" wrapText="1"/>
    </xf>
    <xf numFmtId="3" fontId="2" fillId="0" borderId="15" xfId="0" applyNumberFormat="1" applyFont="1" applyBorder="1" applyAlignment="1">
      <alignment horizontal="right" wrapText="1"/>
    </xf>
    <xf numFmtId="0" fontId="2" fillId="0" borderId="13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3" xfId="0" applyFont="1" applyBorder="1" applyAlignment="1">
      <alignment horizontal="right" wrapText="1"/>
    </xf>
    <xf numFmtId="0" fontId="2" fillId="0" borderId="14" xfId="0" applyFont="1" applyBorder="1" applyAlignment="1">
      <alignment horizontal="right" wrapText="1"/>
    </xf>
    <xf numFmtId="0" fontId="2" fillId="0" borderId="15" xfId="0" applyFont="1" applyBorder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14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12" borderId="0" xfId="0" applyFill="1"/>
    <xf numFmtId="0" fontId="0" fillId="10" borderId="0" xfId="0" applyFill="1"/>
    <xf numFmtId="0" fontId="0" fillId="13" borderId="0" xfId="0" applyFill="1"/>
    <xf numFmtId="14" fontId="0" fillId="0" borderId="0" xfId="0" applyNumberFormat="1"/>
    <xf numFmtId="0" fontId="10" fillId="0" borderId="0" xfId="0" applyFont="1"/>
    <xf numFmtId="0" fontId="11" fillId="0" borderId="0" xfId="0" applyFont="1"/>
    <xf numFmtId="14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BE88-19BB-4153-9A06-392BDBB2D8B4}">
  <dimension ref="A1:B3"/>
  <sheetViews>
    <sheetView workbookViewId="0">
      <selection activeCell="B9" sqref="B9"/>
    </sheetView>
  </sheetViews>
  <sheetFormatPr defaultRowHeight="14.4"/>
  <cols>
    <col min="2" max="2" width="51.21875" bestFit="1" customWidth="1"/>
  </cols>
  <sheetData>
    <row r="1" spans="1:2">
      <c r="A1" t="s">
        <v>131</v>
      </c>
      <c r="B1" t="s">
        <v>135</v>
      </c>
    </row>
    <row r="2" spans="1:2">
      <c r="A2" t="s">
        <v>132</v>
      </c>
      <c r="B2" t="s">
        <v>134</v>
      </c>
    </row>
    <row r="3" spans="1:2">
      <c r="A3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5ACB-9613-4066-93A5-C5ECF8ACFF14}">
  <dimension ref="A1:S15"/>
  <sheetViews>
    <sheetView workbookViewId="0">
      <selection activeCell="I5" sqref="I5"/>
    </sheetView>
  </sheetViews>
  <sheetFormatPr defaultRowHeight="14.4"/>
  <cols>
    <col min="14" max="14" width="12.33203125" customWidth="1"/>
    <col min="15" max="15" width="11.33203125" customWidth="1"/>
    <col min="16" max="16" width="11.77734375" customWidth="1"/>
    <col min="17" max="17" width="12" customWidth="1"/>
  </cols>
  <sheetData>
    <row r="1" spans="1:19" ht="23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24" thickBot="1">
      <c r="A2" s="3" t="s">
        <v>1</v>
      </c>
      <c r="B2" s="4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22.8" thickBot="1">
      <c r="A3" s="65" t="s">
        <v>3</v>
      </c>
      <c r="B3" s="65" t="s">
        <v>4</v>
      </c>
      <c r="C3" s="65" t="s">
        <v>5</v>
      </c>
      <c r="D3" s="65" t="s">
        <v>6</v>
      </c>
      <c r="E3" s="65" t="s">
        <v>7</v>
      </c>
      <c r="F3" s="65" t="s">
        <v>8</v>
      </c>
      <c r="G3" s="54" t="s">
        <v>9</v>
      </c>
      <c r="H3" s="55"/>
      <c r="I3" s="55"/>
      <c r="J3" s="55"/>
      <c r="K3" s="55"/>
      <c r="L3" s="55"/>
      <c r="M3" s="56"/>
      <c r="N3" s="57" t="s">
        <v>10</v>
      </c>
      <c r="O3" s="58"/>
      <c r="P3" s="58"/>
      <c r="Q3" s="58"/>
      <c r="R3" s="59"/>
      <c r="S3" s="60" t="s">
        <v>11</v>
      </c>
    </row>
    <row r="4" spans="1:19" ht="45" thickBot="1">
      <c r="A4" s="66"/>
      <c r="B4" s="66"/>
      <c r="C4" s="66"/>
      <c r="D4" s="66"/>
      <c r="E4" s="66"/>
      <c r="F4" s="66"/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7" t="s">
        <v>19</v>
      </c>
      <c r="O4" s="7" t="s">
        <v>20</v>
      </c>
      <c r="P4" s="7" t="s">
        <v>75</v>
      </c>
      <c r="Q4" s="7" t="s">
        <v>22</v>
      </c>
      <c r="R4" s="7" t="s">
        <v>23</v>
      </c>
      <c r="S4" s="61"/>
    </row>
    <row r="5" spans="1:19" ht="109.2" thickBot="1">
      <c r="A5" s="8">
        <v>1</v>
      </c>
      <c r="B5" s="9" t="s">
        <v>24</v>
      </c>
      <c r="C5" s="10" t="s">
        <v>25</v>
      </c>
      <c r="D5" s="10" t="s">
        <v>26</v>
      </c>
      <c r="E5" s="10" t="s">
        <v>27</v>
      </c>
      <c r="F5" s="11">
        <v>25000</v>
      </c>
      <c r="G5" s="12">
        <v>25000</v>
      </c>
      <c r="H5" s="12">
        <v>2000</v>
      </c>
      <c r="I5" s="13" t="s">
        <v>28</v>
      </c>
      <c r="J5" s="12">
        <v>4000</v>
      </c>
      <c r="K5" s="13" t="s">
        <v>28</v>
      </c>
      <c r="L5" s="13" t="s">
        <v>28</v>
      </c>
      <c r="M5" s="14">
        <v>31000</v>
      </c>
      <c r="N5" s="15">
        <v>750</v>
      </c>
      <c r="O5" s="16">
        <v>1000</v>
      </c>
      <c r="P5" s="15">
        <v>750</v>
      </c>
      <c r="Q5" s="15" t="s">
        <v>28</v>
      </c>
      <c r="R5" s="17">
        <v>2500</v>
      </c>
      <c r="S5" s="18">
        <v>28500</v>
      </c>
    </row>
    <row r="6" spans="1:19" ht="66" thickBot="1">
      <c r="A6" s="8">
        <v>2</v>
      </c>
      <c r="B6" s="9" t="s">
        <v>29</v>
      </c>
      <c r="C6" s="10" t="s">
        <v>30</v>
      </c>
      <c r="D6" s="10" t="s">
        <v>31</v>
      </c>
      <c r="E6" s="10" t="s">
        <v>27</v>
      </c>
      <c r="F6" s="11">
        <v>15000</v>
      </c>
      <c r="G6" s="12">
        <v>15000</v>
      </c>
      <c r="H6" s="13" t="s">
        <v>28</v>
      </c>
      <c r="I6" s="13" t="s">
        <v>28</v>
      </c>
      <c r="J6" s="12">
        <v>5500</v>
      </c>
      <c r="K6" s="13" t="s">
        <v>28</v>
      </c>
      <c r="L6" s="13" t="s">
        <v>28</v>
      </c>
      <c r="M6" s="14">
        <v>20500</v>
      </c>
      <c r="N6" s="15">
        <v>750</v>
      </c>
      <c r="O6" s="15" t="s">
        <v>28</v>
      </c>
      <c r="P6" s="15">
        <v>450</v>
      </c>
      <c r="Q6" s="15" t="s">
        <v>28</v>
      </c>
      <c r="R6" s="17">
        <v>1200</v>
      </c>
      <c r="S6" s="18">
        <v>19300</v>
      </c>
    </row>
    <row r="7" spans="1:19" ht="66" thickBot="1">
      <c r="A7" s="8">
        <v>3</v>
      </c>
      <c r="B7" s="9" t="s">
        <v>32</v>
      </c>
      <c r="C7" s="10" t="s">
        <v>33</v>
      </c>
      <c r="D7" s="10" t="s">
        <v>34</v>
      </c>
      <c r="E7" s="10" t="s">
        <v>27</v>
      </c>
      <c r="F7" s="11">
        <v>15000</v>
      </c>
      <c r="G7" s="12">
        <v>15000</v>
      </c>
      <c r="H7" s="13" t="s">
        <v>28</v>
      </c>
      <c r="I7" s="13" t="s">
        <v>28</v>
      </c>
      <c r="J7" s="13" t="s">
        <v>28</v>
      </c>
      <c r="K7" s="13" t="s">
        <v>28</v>
      </c>
      <c r="L7" s="13" t="s">
        <v>28</v>
      </c>
      <c r="M7" s="14">
        <v>15000</v>
      </c>
      <c r="N7" s="15">
        <v>750</v>
      </c>
      <c r="O7" s="15" t="s">
        <v>28</v>
      </c>
      <c r="P7" s="15">
        <v>450</v>
      </c>
      <c r="Q7" s="15" t="s">
        <v>28</v>
      </c>
      <c r="R7" s="17">
        <v>1200</v>
      </c>
      <c r="S7" s="18">
        <v>13800</v>
      </c>
    </row>
    <row r="8" spans="1:19" ht="87.6" thickBot="1">
      <c r="A8" s="8">
        <v>4</v>
      </c>
      <c r="B8" s="9" t="s">
        <v>35</v>
      </c>
      <c r="C8" s="10" t="s">
        <v>36</v>
      </c>
      <c r="D8" s="10" t="s">
        <v>37</v>
      </c>
      <c r="E8" s="10" t="s">
        <v>38</v>
      </c>
      <c r="F8" s="11">
        <v>25000</v>
      </c>
      <c r="G8" s="12">
        <v>25000</v>
      </c>
      <c r="H8" s="12">
        <v>2000</v>
      </c>
      <c r="I8" s="13" t="s">
        <v>28</v>
      </c>
      <c r="J8" s="13" t="s">
        <v>28</v>
      </c>
      <c r="K8" s="13" t="s">
        <v>28</v>
      </c>
      <c r="L8" s="13" t="s">
        <v>28</v>
      </c>
      <c r="M8" s="14">
        <v>27000</v>
      </c>
      <c r="N8" s="15">
        <v>750</v>
      </c>
      <c r="O8" s="16">
        <v>1000</v>
      </c>
      <c r="P8" s="15">
        <v>750</v>
      </c>
      <c r="Q8" s="15" t="s">
        <v>28</v>
      </c>
      <c r="R8" s="17">
        <v>2500</v>
      </c>
      <c r="S8" s="18">
        <v>24500</v>
      </c>
    </row>
    <row r="9" spans="1:19" ht="44.4" thickBot="1">
      <c r="A9" s="8">
        <v>5</v>
      </c>
      <c r="B9" s="9" t="s">
        <v>39</v>
      </c>
      <c r="C9" s="10" t="s">
        <v>40</v>
      </c>
      <c r="D9" s="10" t="s">
        <v>41</v>
      </c>
      <c r="E9" s="10" t="s">
        <v>38</v>
      </c>
      <c r="F9" s="11">
        <v>15000</v>
      </c>
      <c r="G9" s="12">
        <v>15000</v>
      </c>
      <c r="H9" s="13" t="s">
        <v>28</v>
      </c>
      <c r="I9" s="13" t="s">
        <v>28</v>
      </c>
      <c r="J9" s="13" t="s">
        <v>28</v>
      </c>
      <c r="K9" s="13" t="s">
        <v>28</v>
      </c>
      <c r="L9" s="13" t="s">
        <v>28</v>
      </c>
      <c r="M9" s="14">
        <v>15000</v>
      </c>
      <c r="N9" s="15">
        <v>750</v>
      </c>
      <c r="O9" s="15" t="s">
        <v>28</v>
      </c>
      <c r="P9" s="15">
        <v>450</v>
      </c>
      <c r="Q9" s="15" t="s">
        <v>28</v>
      </c>
      <c r="R9" s="17">
        <v>1200</v>
      </c>
      <c r="S9" s="18">
        <v>13800</v>
      </c>
    </row>
    <row r="10" spans="1:19" ht="44.4" thickBot="1">
      <c r="A10" s="8">
        <v>6</v>
      </c>
      <c r="B10" s="9" t="s">
        <v>42</v>
      </c>
      <c r="C10" s="10" t="s">
        <v>43</v>
      </c>
      <c r="D10" s="10" t="s">
        <v>44</v>
      </c>
      <c r="E10" s="10" t="s">
        <v>38</v>
      </c>
      <c r="F10" s="11">
        <v>15000</v>
      </c>
      <c r="G10" s="12">
        <v>15000</v>
      </c>
      <c r="H10" s="13" t="s">
        <v>28</v>
      </c>
      <c r="I10" s="13" t="s">
        <v>28</v>
      </c>
      <c r="J10" s="13" t="s">
        <v>28</v>
      </c>
      <c r="K10" s="13" t="s">
        <v>28</v>
      </c>
      <c r="L10" s="13" t="s">
        <v>28</v>
      </c>
      <c r="M10" s="14">
        <v>15000</v>
      </c>
      <c r="N10" s="15">
        <v>750</v>
      </c>
      <c r="O10" s="15" t="s">
        <v>28</v>
      </c>
      <c r="P10" s="15">
        <v>450</v>
      </c>
      <c r="Q10" s="15" t="s">
        <v>28</v>
      </c>
      <c r="R10" s="17">
        <v>1200</v>
      </c>
      <c r="S10" s="18">
        <v>13800</v>
      </c>
    </row>
    <row r="11" spans="1:19" ht="66" thickBot="1">
      <c r="A11" s="8">
        <v>7</v>
      </c>
      <c r="B11" s="9" t="s">
        <v>45</v>
      </c>
      <c r="C11" s="10" t="s">
        <v>46</v>
      </c>
      <c r="D11" s="10" t="s">
        <v>47</v>
      </c>
      <c r="E11" s="10" t="s">
        <v>48</v>
      </c>
      <c r="F11" s="11">
        <v>25000</v>
      </c>
      <c r="G11" s="12">
        <v>25000</v>
      </c>
      <c r="H11" s="12">
        <v>2000</v>
      </c>
      <c r="I11" s="13" t="s">
        <v>28</v>
      </c>
      <c r="J11" s="13" t="s">
        <v>28</v>
      </c>
      <c r="K11" s="13" t="s">
        <v>28</v>
      </c>
      <c r="L11" s="13" t="s">
        <v>28</v>
      </c>
      <c r="M11" s="14">
        <v>27000</v>
      </c>
      <c r="N11" s="15">
        <v>750</v>
      </c>
      <c r="O11" s="16">
        <v>1000</v>
      </c>
      <c r="P11" s="15">
        <v>750</v>
      </c>
      <c r="Q11" s="15" t="s">
        <v>28</v>
      </c>
      <c r="R11" s="17">
        <v>2500</v>
      </c>
      <c r="S11" s="18">
        <v>24500</v>
      </c>
    </row>
    <row r="12" spans="1:19" ht="44.4" thickBot="1">
      <c r="A12" s="8">
        <v>8</v>
      </c>
      <c r="B12" s="9" t="s">
        <v>49</v>
      </c>
      <c r="C12" s="10" t="s">
        <v>50</v>
      </c>
      <c r="D12" s="10" t="s">
        <v>51</v>
      </c>
      <c r="E12" s="10" t="s">
        <v>48</v>
      </c>
      <c r="F12" s="11">
        <v>15000</v>
      </c>
      <c r="G12" s="12">
        <v>15000</v>
      </c>
      <c r="H12" s="13" t="s">
        <v>28</v>
      </c>
      <c r="I12" s="12">
        <v>1500</v>
      </c>
      <c r="J12" s="13" t="s">
        <v>28</v>
      </c>
      <c r="K12" s="13" t="s">
        <v>28</v>
      </c>
      <c r="L12" s="13" t="s">
        <v>28</v>
      </c>
      <c r="M12" s="14">
        <v>16500</v>
      </c>
      <c r="N12" s="15">
        <v>750</v>
      </c>
      <c r="O12" s="15" t="s">
        <v>28</v>
      </c>
      <c r="P12" s="15">
        <v>450</v>
      </c>
      <c r="Q12" s="15" t="s">
        <v>28</v>
      </c>
      <c r="R12" s="17">
        <v>1200</v>
      </c>
      <c r="S12" s="18">
        <v>15300</v>
      </c>
    </row>
    <row r="13" spans="1:19" ht="44.4" thickBot="1">
      <c r="A13" s="8">
        <v>9</v>
      </c>
      <c r="B13" s="9" t="s">
        <v>52</v>
      </c>
      <c r="C13" s="10" t="s">
        <v>53</v>
      </c>
      <c r="D13" s="10" t="s">
        <v>54</v>
      </c>
      <c r="E13" s="10" t="s">
        <v>48</v>
      </c>
      <c r="F13" s="11">
        <v>15000</v>
      </c>
      <c r="G13" s="12">
        <v>15000</v>
      </c>
      <c r="H13" s="13" t="s">
        <v>28</v>
      </c>
      <c r="I13" s="12">
        <v>1000</v>
      </c>
      <c r="J13" s="13" t="s">
        <v>28</v>
      </c>
      <c r="K13" s="13" t="s">
        <v>28</v>
      </c>
      <c r="L13" s="13" t="s">
        <v>28</v>
      </c>
      <c r="M13" s="14">
        <v>16000</v>
      </c>
      <c r="N13" s="15">
        <v>750</v>
      </c>
      <c r="O13" s="15" t="s">
        <v>28</v>
      </c>
      <c r="P13" s="15">
        <v>450</v>
      </c>
      <c r="Q13" s="15" t="s">
        <v>28</v>
      </c>
      <c r="R13" s="17">
        <v>1200</v>
      </c>
      <c r="S13" s="18">
        <v>14800</v>
      </c>
    </row>
    <row r="14" spans="1:19" ht="44.4" thickBot="1">
      <c r="A14" s="8">
        <v>10</v>
      </c>
      <c r="B14" s="9" t="s">
        <v>55</v>
      </c>
      <c r="C14" s="10" t="s">
        <v>56</v>
      </c>
      <c r="D14" s="10" t="s">
        <v>54</v>
      </c>
      <c r="E14" s="10" t="s">
        <v>48</v>
      </c>
      <c r="F14" s="11">
        <v>15000</v>
      </c>
      <c r="G14" s="12">
        <v>15000</v>
      </c>
      <c r="H14" s="13" t="s">
        <v>28</v>
      </c>
      <c r="I14" s="12">
        <v>1000</v>
      </c>
      <c r="J14" s="13" t="s">
        <v>28</v>
      </c>
      <c r="K14" s="13" t="s">
        <v>28</v>
      </c>
      <c r="L14" s="13" t="s">
        <v>28</v>
      </c>
      <c r="M14" s="14">
        <v>16000</v>
      </c>
      <c r="N14" s="15">
        <v>750</v>
      </c>
      <c r="O14" s="15" t="s">
        <v>28</v>
      </c>
      <c r="P14" s="15">
        <v>450</v>
      </c>
      <c r="Q14" s="15" t="s">
        <v>28</v>
      </c>
      <c r="R14" s="17">
        <v>1200</v>
      </c>
      <c r="S14" s="18">
        <v>14800</v>
      </c>
    </row>
    <row r="15" spans="1:19" ht="22.8" thickBot="1">
      <c r="A15" s="62" t="s">
        <v>57</v>
      </c>
      <c r="B15" s="63"/>
      <c r="C15" s="63"/>
      <c r="D15" s="63"/>
      <c r="E15" s="63"/>
      <c r="F15" s="64"/>
      <c r="G15" s="19">
        <v>180000</v>
      </c>
      <c r="H15" s="19">
        <v>6000</v>
      </c>
      <c r="I15" s="19">
        <v>3500</v>
      </c>
      <c r="J15" s="19">
        <v>9500</v>
      </c>
      <c r="K15" s="20" t="s">
        <v>28</v>
      </c>
      <c r="L15" s="20" t="s">
        <v>28</v>
      </c>
      <c r="M15" s="19">
        <v>199000</v>
      </c>
      <c r="N15" s="19">
        <v>7500</v>
      </c>
      <c r="O15" s="19">
        <v>3000</v>
      </c>
      <c r="P15" s="19">
        <v>5400</v>
      </c>
      <c r="Q15" s="20" t="s">
        <v>28</v>
      </c>
      <c r="R15" s="19">
        <v>15900</v>
      </c>
      <c r="S15" s="19">
        <v>183100</v>
      </c>
    </row>
  </sheetData>
  <mergeCells count="10">
    <mergeCell ref="G3:M3"/>
    <mergeCell ref="N3:R3"/>
    <mergeCell ref="S3:S4"/>
    <mergeCell ref="A15:F15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99C9-B38D-4CE9-B714-E58EDC59A281}">
  <dimension ref="A1:Z1002"/>
  <sheetViews>
    <sheetView workbookViewId="0">
      <selection activeCell="A14" sqref="A14:C14"/>
    </sheetView>
  </sheetViews>
  <sheetFormatPr defaultRowHeight="14.4"/>
  <sheetData>
    <row r="1" spans="1:26" ht="34.799999999999997" customHeight="1">
      <c r="A1" s="119" t="s">
        <v>58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2"/>
      <c r="T1" s="21" t="s">
        <v>59</v>
      </c>
      <c r="U1" s="2"/>
      <c r="V1" s="2"/>
      <c r="W1" s="2"/>
      <c r="X1" s="2"/>
      <c r="Y1" s="2"/>
      <c r="Z1" s="2"/>
    </row>
    <row r="2" spans="1:26" ht="23.4" customHeight="1">
      <c r="A2" s="120" t="s">
        <v>60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2"/>
      <c r="T2" s="21" t="s">
        <v>61</v>
      </c>
      <c r="U2" s="2"/>
      <c r="V2" s="2"/>
      <c r="W2" s="2"/>
      <c r="X2" s="2"/>
      <c r="Y2" s="2"/>
      <c r="Z2" s="2"/>
    </row>
    <row r="3" spans="1:26" ht="22.2" thickBo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2"/>
      <c r="T3" s="2"/>
      <c r="U3" s="2"/>
      <c r="V3" s="2"/>
      <c r="W3" s="2"/>
      <c r="X3" s="2"/>
      <c r="Y3" s="2"/>
      <c r="Z3" s="2"/>
    </row>
    <row r="4" spans="1:26" ht="21.6" customHeight="1">
      <c r="A4" s="22" t="s">
        <v>62</v>
      </c>
      <c r="B4" s="23"/>
      <c r="C4" s="24"/>
      <c r="D4" s="114" t="s">
        <v>24</v>
      </c>
      <c r="E4" s="121"/>
      <c r="F4" s="121"/>
      <c r="G4" s="121"/>
      <c r="H4" s="121"/>
      <c r="I4" s="115"/>
      <c r="J4" s="23" t="s">
        <v>63</v>
      </c>
      <c r="K4" s="23"/>
      <c r="L4" s="24"/>
      <c r="M4" s="114" t="s">
        <v>73</v>
      </c>
      <c r="N4" s="121"/>
      <c r="O4" s="121"/>
      <c r="P4" s="121"/>
      <c r="Q4" s="121"/>
      <c r="R4" s="115"/>
      <c r="S4" s="2"/>
      <c r="T4" s="2"/>
      <c r="U4" s="2"/>
      <c r="V4" s="2"/>
      <c r="W4" s="2"/>
      <c r="X4" s="2"/>
      <c r="Y4" s="2"/>
      <c r="Z4" s="2"/>
    </row>
    <row r="5" spans="1:26" ht="21.6" customHeight="1">
      <c r="A5" s="22" t="s">
        <v>64</v>
      </c>
      <c r="B5" s="23"/>
      <c r="C5" s="24"/>
      <c r="D5" s="85" t="str">
        <f>INDEX(Payroll!C:C,MATCH(D4,Payroll!B:B))</f>
        <v>นาย A</v>
      </c>
      <c r="E5" s="122"/>
      <c r="F5" s="122"/>
      <c r="G5" s="122"/>
      <c r="H5" s="122"/>
      <c r="I5" s="86"/>
      <c r="J5" s="23" t="s">
        <v>65</v>
      </c>
      <c r="K5" s="23"/>
      <c r="L5" s="24"/>
      <c r="M5" s="85" t="str">
        <f>INDEX(Payroll!E:E,MATCH(D4,Payroll!B:B))</f>
        <v>การตลาดและการขาย</v>
      </c>
      <c r="N5" s="122"/>
      <c r="O5" s="122"/>
      <c r="P5" s="122"/>
      <c r="Q5" s="122"/>
      <c r="R5" s="86"/>
      <c r="S5" s="2"/>
      <c r="T5" s="2"/>
      <c r="U5" s="2"/>
      <c r="V5" s="2"/>
      <c r="W5" s="2"/>
      <c r="X5" s="2"/>
      <c r="Y5" s="2"/>
      <c r="Z5" s="2"/>
    </row>
    <row r="6" spans="1:26" ht="22.2" thickBot="1">
      <c r="A6" s="25" t="s">
        <v>66</v>
      </c>
      <c r="B6" s="5"/>
      <c r="C6" s="10"/>
      <c r="D6" s="99">
        <v>244225</v>
      </c>
      <c r="E6" s="100"/>
      <c r="F6" s="100"/>
      <c r="G6" s="100"/>
      <c r="H6" s="100"/>
      <c r="I6" s="101"/>
      <c r="J6" s="26" t="s">
        <v>67</v>
      </c>
      <c r="K6" s="5"/>
      <c r="L6" s="10"/>
      <c r="M6" s="82" t="s">
        <v>68</v>
      </c>
      <c r="N6" s="84"/>
      <c r="O6" s="84"/>
      <c r="P6" s="84"/>
      <c r="Q6" s="84"/>
      <c r="R6" s="83"/>
      <c r="S6" s="2"/>
      <c r="T6" s="2"/>
      <c r="U6" s="2"/>
      <c r="V6" s="2"/>
      <c r="W6" s="2"/>
      <c r="X6" s="2"/>
      <c r="Y6" s="2"/>
      <c r="Z6" s="2"/>
    </row>
    <row r="7" spans="1:26" ht="22.2" thickBo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2"/>
      <c r="T7" s="2"/>
      <c r="U7" s="2"/>
      <c r="V7" s="2"/>
      <c r="W7" s="2"/>
      <c r="X7" s="2"/>
      <c r="Y7" s="2"/>
      <c r="Z7" s="2"/>
    </row>
    <row r="8" spans="1:26" ht="22.8" thickBot="1">
      <c r="A8" s="102" t="s">
        <v>9</v>
      </c>
      <c r="B8" s="103"/>
      <c r="C8" s="103"/>
      <c r="D8" s="103"/>
      <c r="E8" s="103"/>
      <c r="F8" s="103"/>
      <c r="G8" s="103"/>
      <c r="H8" s="103"/>
      <c r="I8" s="104"/>
      <c r="J8" s="105" t="s">
        <v>10</v>
      </c>
      <c r="K8" s="106"/>
      <c r="L8" s="106"/>
      <c r="M8" s="106"/>
      <c r="N8" s="106"/>
      <c r="O8" s="106"/>
      <c r="P8" s="106"/>
      <c r="Q8" s="106"/>
      <c r="R8" s="107"/>
      <c r="S8" s="2"/>
      <c r="T8" s="2"/>
      <c r="U8" s="2"/>
      <c r="V8" s="2"/>
      <c r="W8" s="2"/>
      <c r="X8" s="2"/>
      <c r="Y8" s="2"/>
      <c r="Z8" s="2"/>
    </row>
    <row r="9" spans="1:26" ht="21.6" customHeight="1">
      <c r="A9" s="108" t="s">
        <v>12</v>
      </c>
      <c r="B9" s="109"/>
      <c r="C9" s="110"/>
      <c r="D9" s="111">
        <f>INDEX(Payroll!G:G,MATCH(D4,Payroll!B:B))</f>
        <v>25000</v>
      </c>
      <c r="E9" s="112"/>
      <c r="F9" s="112"/>
      <c r="G9" s="113"/>
      <c r="H9" s="114" t="s">
        <v>69</v>
      </c>
      <c r="I9" s="115"/>
      <c r="J9" s="108" t="s">
        <v>19</v>
      </c>
      <c r="K9" s="109"/>
      <c r="L9" s="110"/>
      <c r="M9" s="116">
        <f>INDEX(Payroll!N:N,MATCH(D4,Payroll!B:B))</f>
        <v>750</v>
      </c>
      <c r="N9" s="117"/>
      <c r="O9" s="117"/>
      <c r="P9" s="118"/>
      <c r="Q9" s="114" t="s">
        <v>69</v>
      </c>
      <c r="R9" s="115"/>
      <c r="S9" s="2"/>
      <c r="T9" s="2"/>
      <c r="U9" s="2"/>
      <c r="V9" s="2"/>
      <c r="W9" s="2"/>
      <c r="X9" s="2"/>
      <c r="Y9" s="2"/>
      <c r="Z9" s="2"/>
    </row>
    <row r="10" spans="1:26" ht="21.6" customHeight="1">
      <c r="A10" s="87" t="s">
        <v>13</v>
      </c>
      <c r="B10" s="88"/>
      <c r="C10" s="89"/>
      <c r="D10" s="90">
        <f>INDEX(Payroll!H:H,MATCH(D4,Payroll!B:B))</f>
        <v>2000</v>
      </c>
      <c r="E10" s="91"/>
      <c r="F10" s="91"/>
      <c r="G10" s="92"/>
      <c r="H10" s="85" t="s">
        <v>69</v>
      </c>
      <c r="I10" s="86"/>
      <c r="J10" s="87" t="s">
        <v>20</v>
      </c>
      <c r="K10" s="88"/>
      <c r="L10" s="89"/>
      <c r="M10" s="90">
        <f>INDEX(Payroll!O:O,MATCH(D4,Payroll!B:B))</f>
        <v>1000</v>
      </c>
      <c r="N10" s="91"/>
      <c r="O10" s="91"/>
      <c r="P10" s="92"/>
      <c r="Q10" s="85" t="s">
        <v>69</v>
      </c>
      <c r="R10" s="86"/>
      <c r="S10" s="2"/>
      <c r="T10" s="2"/>
      <c r="U10" s="2"/>
      <c r="V10" s="2"/>
      <c r="W10" s="2"/>
      <c r="X10" s="2"/>
      <c r="Y10" s="2"/>
      <c r="Z10" s="2"/>
    </row>
    <row r="11" spans="1:26" ht="21.6" customHeight="1">
      <c r="A11" s="87" t="s">
        <v>159</v>
      </c>
      <c r="B11" s="88"/>
      <c r="C11" s="89"/>
      <c r="D11" s="37"/>
      <c r="E11" s="38"/>
      <c r="F11" s="38"/>
      <c r="G11" s="39"/>
      <c r="H11" s="32"/>
      <c r="I11" s="33"/>
      <c r="J11" s="34"/>
      <c r="K11" s="35"/>
      <c r="L11" s="36"/>
      <c r="M11" s="37"/>
      <c r="N11" s="38"/>
      <c r="O11" s="38"/>
      <c r="P11" s="39"/>
      <c r="Q11" s="32"/>
      <c r="R11" s="33"/>
      <c r="S11" s="2"/>
      <c r="T11" s="2"/>
      <c r="U11" s="2"/>
      <c r="V11" s="2"/>
      <c r="W11" s="2"/>
      <c r="X11" s="2"/>
      <c r="Y11" s="2"/>
      <c r="Z11" s="2"/>
    </row>
    <row r="12" spans="1:26" ht="21.6" customHeight="1">
      <c r="A12" s="87" t="s">
        <v>14</v>
      </c>
      <c r="B12" s="88"/>
      <c r="C12" s="89"/>
      <c r="D12" s="93" t="str">
        <f>INDEX(Payroll!I:I,MATCH(D4,Payroll!B:B))</f>
        <v>-</v>
      </c>
      <c r="E12" s="94"/>
      <c r="F12" s="94"/>
      <c r="G12" s="95"/>
      <c r="H12" s="85" t="s">
        <v>69</v>
      </c>
      <c r="I12" s="86"/>
      <c r="J12" s="87" t="s">
        <v>74</v>
      </c>
      <c r="K12" s="88"/>
      <c r="L12" s="89"/>
      <c r="M12" s="93">
        <f>INDEX(Payroll!P:P,MATCH(D4,Payroll!B:B))</f>
        <v>750</v>
      </c>
      <c r="N12" s="94"/>
      <c r="O12" s="94"/>
      <c r="P12" s="95"/>
      <c r="Q12" s="85" t="s">
        <v>69</v>
      </c>
      <c r="R12" s="86"/>
      <c r="S12" s="2"/>
      <c r="T12" s="2"/>
      <c r="U12" s="2"/>
      <c r="V12" s="2"/>
      <c r="W12" s="2"/>
      <c r="X12" s="2"/>
      <c r="Y12" s="2"/>
      <c r="Z12" s="2"/>
    </row>
    <row r="13" spans="1:26" ht="21.6" customHeight="1">
      <c r="A13" s="87" t="s">
        <v>15</v>
      </c>
      <c r="B13" s="88"/>
      <c r="C13" s="89"/>
      <c r="D13" s="90">
        <v>4000</v>
      </c>
      <c r="E13" s="91"/>
      <c r="F13" s="91"/>
      <c r="G13" s="92"/>
      <c r="H13" s="85" t="s">
        <v>69</v>
      </c>
      <c r="I13" s="86"/>
      <c r="J13" s="87" t="s">
        <v>21</v>
      </c>
      <c r="K13" s="88"/>
      <c r="L13" s="89"/>
      <c r="M13" s="93" t="e">
        <f>INDEX(Payroll!#REF!,MATCH(D4,Payroll!B:B))</f>
        <v>#REF!</v>
      </c>
      <c r="N13" s="94"/>
      <c r="O13" s="94"/>
      <c r="P13" s="95"/>
      <c r="Q13" s="85" t="s">
        <v>69</v>
      </c>
      <c r="R13" s="86"/>
      <c r="S13" s="2"/>
      <c r="T13" s="2"/>
      <c r="U13" s="2"/>
      <c r="V13" s="2"/>
      <c r="W13" s="2"/>
      <c r="X13" s="2"/>
      <c r="Y13" s="2"/>
      <c r="Z13" s="2"/>
    </row>
    <row r="14" spans="1:26" ht="21.6" customHeight="1">
      <c r="A14" s="96" t="s">
        <v>160</v>
      </c>
      <c r="B14" s="97"/>
      <c r="C14" s="98"/>
      <c r="D14" s="37"/>
      <c r="E14" s="38"/>
      <c r="F14" s="38"/>
      <c r="G14" s="39"/>
      <c r="H14" s="32"/>
      <c r="I14" s="33"/>
      <c r="J14" s="34"/>
      <c r="K14" s="35"/>
      <c r="L14" s="36"/>
      <c r="M14" s="40"/>
      <c r="N14" s="41"/>
      <c r="O14" s="41"/>
      <c r="P14" s="42"/>
      <c r="Q14" s="32"/>
      <c r="R14" s="33"/>
      <c r="S14" s="2"/>
      <c r="T14" s="2"/>
      <c r="U14" s="2"/>
      <c r="V14" s="2"/>
      <c r="W14" s="2"/>
      <c r="X14" s="2"/>
      <c r="Y14" s="2"/>
      <c r="Z14" s="2"/>
    </row>
    <row r="15" spans="1:26" ht="21.6" customHeight="1">
      <c r="A15" s="87" t="s">
        <v>16</v>
      </c>
      <c r="B15" s="88"/>
      <c r="C15" s="89"/>
      <c r="D15" s="93" t="str">
        <f>INDEX(Payroll!K:K,MATCH(D4,Payroll!B:B))</f>
        <v>-</v>
      </c>
      <c r="E15" s="94"/>
      <c r="F15" s="94"/>
      <c r="G15" s="95"/>
      <c r="H15" s="85" t="s">
        <v>69</v>
      </c>
      <c r="I15" s="86"/>
      <c r="J15" s="87" t="s">
        <v>22</v>
      </c>
      <c r="K15" s="88"/>
      <c r="L15" s="89"/>
      <c r="M15" s="93" t="str">
        <f>INDEX(Payroll!Q:Q,MATCH(D4,Payroll!B:B))</f>
        <v>-</v>
      </c>
      <c r="N15" s="94"/>
      <c r="O15" s="94"/>
      <c r="P15" s="95"/>
      <c r="Q15" s="85" t="s">
        <v>69</v>
      </c>
      <c r="R15" s="86"/>
      <c r="S15" s="2"/>
      <c r="T15" s="2"/>
      <c r="U15" s="2"/>
      <c r="V15" s="2"/>
      <c r="W15" s="2"/>
      <c r="X15" s="2"/>
      <c r="Y15" s="2"/>
      <c r="Z15" s="2"/>
    </row>
    <row r="16" spans="1:26" ht="22.2" thickBot="1">
      <c r="A16" s="76" t="s">
        <v>70</v>
      </c>
      <c r="B16" s="77"/>
      <c r="C16" s="78"/>
      <c r="D16" s="79" t="str">
        <f>INDEX(Payroll!L:L,MATCH(D4,Payroll!B:B))</f>
        <v>-</v>
      </c>
      <c r="E16" s="80"/>
      <c r="F16" s="80"/>
      <c r="G16" s="81"/>
      <c r="H16" s="82" t="s">
        <v>69</v>
      </c>
      <c r="I16" s="83"/>
      <c r="J16" s="76"/>
      <c r="K16" s="77"/>
      <c r="L16" s="78"/>
      <c r="M16" s="82"/>
      <c r="N16" s="84"/>
      <c r="O16" s="84"/>
      <c r="P16" s="83"/>
      <c r="Q16" s="82"/>
      <c r="R16" s="83"/>
      <c r="S16" s="2"/>
      <c r="T16" s="2"/>
      <c r="U16" s="2"/>
      <c r="V16" s="2"/>
      <c r="W16" s="2"/>
      <c r="X16" s="2"/>
      <c r="Y16" s="2"/>
      <c r="Z16" s="2"/>
    </row>
    <row r="17" spans="1:26" ht="22.8" thickBot="1">
      <c r="A17" s="69" t="s">
        <v>18</v>
      </c>
      <c r="B17" s="70"/>
      <c r="C17" s="71"/>
      <c r="D17" s="72">
        <v>31000</v>
      </c>
      <c r="E17" s="73"/>
      <c r="F17" s="73"/>
      <c r="G17" s="73"/>
      <c r="H17" s="74" t="s">
        <v>69</v>
      </c>
      <c r="I17" s="75"/>
      <c r="J17" s="69" t="s">
        <v>23</v>
      </c>
      <c r="K17" s="70"/>
      <c r="L17" s="71"/>
      <c r="M17" s="72">
        <v>2500</v>
      </c>
      <c r="N17" s="73"/>
      <c r="O17" s="73"/>
      <c r="P17" s="73"/>
      <c r="Q17" s="74" t="s">
        <v>69</v>
      </c>
      <c r="R17" s="75"/>
      <c r="S17" s="2"/>
      <c r="T17" s="2"/>
      <c r="U17" s="2"/>
      <c r="V17" s="2"/>
      <c r="W17" s="2"/>
      <c r="X17" s="2"/>
      <c r="Y17" s="2"/>
      <c r="Z17" s="2"/>
    </row>
    <row r="18" spans="1:26" ht="22.2" thickBot="1">
      <c r="A18" s="2"/>
      <c r="B18" s="2"/>
      <c r="C18" s="2"/>
      <c r="D18" s="2"/>
      <c r="E18" s="2"/>
      <c r="F18" s="2"/>
      <c r="G18" s="2"/>
      <c r="H18" s="2"/>
      <c r="I18" s="2"/>
      <c r="J18" s="5"/>
      <c r="K18" s="5"/>
      <c r="L18" s="5"/>
      <c r="M18" s="5"/>
      <c r="N18" s="5"/>
      <c r="O18" s="5"/>
      <c r="P18" s="5"/>
      <c r="Q18" s="5"/>
      <c r="R18" s="5"/>
      <c r="S18" s="2"/>
      <c r="T18" s="2"/>
      <c r="U18" s="2"/>
      <c r="V18" s="2"/>
      <c r="W18" s="2"/>
      <c r="X18" s="2"/>
      <c r="Y18" s="2"/>
      <c r="Z18" s="2"/>
    </row>
    <row r="19" spans="1:26" ht="25.2" thickBot="1">
      <c r="A19" s="2"/>
      <c r="B19" s="2"/>
      <c r="C19" s="2"/>
      <c r="D19" s="2"/>
      <c r="E19" s="2"/>
      <c r="F19" s="2"/>
      <c r="G19" s="2"/>
      <c r="H19" s="2"/>
      <c r="I19" s="27"/>
      <c r="J19" s="28" t="s">
        <v>11</v>
      </c>
      <c r="K19" s="29"/>
      <c r="L19" s="30"/>
      <c r="M19" s="67">
        <v>28500</v>
      </c>
      <c r="N19" s="68"/>
      <c r="O19" s="68"/>
      <c r="P19" s="68"/>
      <c r="Q19" s="31" t="s">
        <v>69</v>
      </c>
      <c r="R19" s="30"/>
      <c r="S19" s="2"/>
      <c r="T19" s="2"/>
      <c r="U19" s="2"/>
      <c r="V19" s="2"/>
      <c r="W19" s="2"/>
      <c r="X19" s="2"/>
      <c r="Y19" s="2"/>
      <c r="Z19" s="2"/>
    </row>
    <row r="20" spans="1:26" ht="21.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2" thickBot="1">
      <c r="A21" s="21" t="s">
        <v>71</v>
      </c>
      <c r="B21" s="2"/>
      <c r="C21" s="2"/>
      <c r="D21" s="5"/>
      <c r="E21" s="5"/>
      <c r="F21" s="5"/>
      <c r="G21" s="5"/>
      <c r="H21" s="5"/>
      <c r="I21" s="2"/>
      <c r="J21" s="21" t="s">
        <v>72</v>
      </c>
      <c r="K21" s="2"/>
      <c r="L21" s="2"/>
      <c r="M21" s="5"/>
      <c r="N21" s="5"/>
      <c r="O21" s="5"/>
      <c r="P21" s="5"/>
      <c r="Q21" s="5"/>
      <c r="R21" s="2"/>
      <c r="S21" s="2"/>
      <c r="T21" s="2"/>
      <c r="U21" s="2"/>
      <c r="V21" s="2"/>
      <c r="W21" s="2"/>
      <c r="X21" s="2"/>
      <c r="Y21" s="2"/>
      <c r="Z21" s="2"/>
    </row>
    <row r="22" spans="1:26" ht="21.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.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1.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1.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1.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1.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1.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.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1.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1.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1.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1.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.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1.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1.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1.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1.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1.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1.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1.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1.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1.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1.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1.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1.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1.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1.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1.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1.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1.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1.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1.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1.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1.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1.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1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1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1.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1.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1.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1.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1.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1.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1.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1.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1.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1.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1.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1.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1.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1.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1.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1.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1.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1.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1.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1.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1.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1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1.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1.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1.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1.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1.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1.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1.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1.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1.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1.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1.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1.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1.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1.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1.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1.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1.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1.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1.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1.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1.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1.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1.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1.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1.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1.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1.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1.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1.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1.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1.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1.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1.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1.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1.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1.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1.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1.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1.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1.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1.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1.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1.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1.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1.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1.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1.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1.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1.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1.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1.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1.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1.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1.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1.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1.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1.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1.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1.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1.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1.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1.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1.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1.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1.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1.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1.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1.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1.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1.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1.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1.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1.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1.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1.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1.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1.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1.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1.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1.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1.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1.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1.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1.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1.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1.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1.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1.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1.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1.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1.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1.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1.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1.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1.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1.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1.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1.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1.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1.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1.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1.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1.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1.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1.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1.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1.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1.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1.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1.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1.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1.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1.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1.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1.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1.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1.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1.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1.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1.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1.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1.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1.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1.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1.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1.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1.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1.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1.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1.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1.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1.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1.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1.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1.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1.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1.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1.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1.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1.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1.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1.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1.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1.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1.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1.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1.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1.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1.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1.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1.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1.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1.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1.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1.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1.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1.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1.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1.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1.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1.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1.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1.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1.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1.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1.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1.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1.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1.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1.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1.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1.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1.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1.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1.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1.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1.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1.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1.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1.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1.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1.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1.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1.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1.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1.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1.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1.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1.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1.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1.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1.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1.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1.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1.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1.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1.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1.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1.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1.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1.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1.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1.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1.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1.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1.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1.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1.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1.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1.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1.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1.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1.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1.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1.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1.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1.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1.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1.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1.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1.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1.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1.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1.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1.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1.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1.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1.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1.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1.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1.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1.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1.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1.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1.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1.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1.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1.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1.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1.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1.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1.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1.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1.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1.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1.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1.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1.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1.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1.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1.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1.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1.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1.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1.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1.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1.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1.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1.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1.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1.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1.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1.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1.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1.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1.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1.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1.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1.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1.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1.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1.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1.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1.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1.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1.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1.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1.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1.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1.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1.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1.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1.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1.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1.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1.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1.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1.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1.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1.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1.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1.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1.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1.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1.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1.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1.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1.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1.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1.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1.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1.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1.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1.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1.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1.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1.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1.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1.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1.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1.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1.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1.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1.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1.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1.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1.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1.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1.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1.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1.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1.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1.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1.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1.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1.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1.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1.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1.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1.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1.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1.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1.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1.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1.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1.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1.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1.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1.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1.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1.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1.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1.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1.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1.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1.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1.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1.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1.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1.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1.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1.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1.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1.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1.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1.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1.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1.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1.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1.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1.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1.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1.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1.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1.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1.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1.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1.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1.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1.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1.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1.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1.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1.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1.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1.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1.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1.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1.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1.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1.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1.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1.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1.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1.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1.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1.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1.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1.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1.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1.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1.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1.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1.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1.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1.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1.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1.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1.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1.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1.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1.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1.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1.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1.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1.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1.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1.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1.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1.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1.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1.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1.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1.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1.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1.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1.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1.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1.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1.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1.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1.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1.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1.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1.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1.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1.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1.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1.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1.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1.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1.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1.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1.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1.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1.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1.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1.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1.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1.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1.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1.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1.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1.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1.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1.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1.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1.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1.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1.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1.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1.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1.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1.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1.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1.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1.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1.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1.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1.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1.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1.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1.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1.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1.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1.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1.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1.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1.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1.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1.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1.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1.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1.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1.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1.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1.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1.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1.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1.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1.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1.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1.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1.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1.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1.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1.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1.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1.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1.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1.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1.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1.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1.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1.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1.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1.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1.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1.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1.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1.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1.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1.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1.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1.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1.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1.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1.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1.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1.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1.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1.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1.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1.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1.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1.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1.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1.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1.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1.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1.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1.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1.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1.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1.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1.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1.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1.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1.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1.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1.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1.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1.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1.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1.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1.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1.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1.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1.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1.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1.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1.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1.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1.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1.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1.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1.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1.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1.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1.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1.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1.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1.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1.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1.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1.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1.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1.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1.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1.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1.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1.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1.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1.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1.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1.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1.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1.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1.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1.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1.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1.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1.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1.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1.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1.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1.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1.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1.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1.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1.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1.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1.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1.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1.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1.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1.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1.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1.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1.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1.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1.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1.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1.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1.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1.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1.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1.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1.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1.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1.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1.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1.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1.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1.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1.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1.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1.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1.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1.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1.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1.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1.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1.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1.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1.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1.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1.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1.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1.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1.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1.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1.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1.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1.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1.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1.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1.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1.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1.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1.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1.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1.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1.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1.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1.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1.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1.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1.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1.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1.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1.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1.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1.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1.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1.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1.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1.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1.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1.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1.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1.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1.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1.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1.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1.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1.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1.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1.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1.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1.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1.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1.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1.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1.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1.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1.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1.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1.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1.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1.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1.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1.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1.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1.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1.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1.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1.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1.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1.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1.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1.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1.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1.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1.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1.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1.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1.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1.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1.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1.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1.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1.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1.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1.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1.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1.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1.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1.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1.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1.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1.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1.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1.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1.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1.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1.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1.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1.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1.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1.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1.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1.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1.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1.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1.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1.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1.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1.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1.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1.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1.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1.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1.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1.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1.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1.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1.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1.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1.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1.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1.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1.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1.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1.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1.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1.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1.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1.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1.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1.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1.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1.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1.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1.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1.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1.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1.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1.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1.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1.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1.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1.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1.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1.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1.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1.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1.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1.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1.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1.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1.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1.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1.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1.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1.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1.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1.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1.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1.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1.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1.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1.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1.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1.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1.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1.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1.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1.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1.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1.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1.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1.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1.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1.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1.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1.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1.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1.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1.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1.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1.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1.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1.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1.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1.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1.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1.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1.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1.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1.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1.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1.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1.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1.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1.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1.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1.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1.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1.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1.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1.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1.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1.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1.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1.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1.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1.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1.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1.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1.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1.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1.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1.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1.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1.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1.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1.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1.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1.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1.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1.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1.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1.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1.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1.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1.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1.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1.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1.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1.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1.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1.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1.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1.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1.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1.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1.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1.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1.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1.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1.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1.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1.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1.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1.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1.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1.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1.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1.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1.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1.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1.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1.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1.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1.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1.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1.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1.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1.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1.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1.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1.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1.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1.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1.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1.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1.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1.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1.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1.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1.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1.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1.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1.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1.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1.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1.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1.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1.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1.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1.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1.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1.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1.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1.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1.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1.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1.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1.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1.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1.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1.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1.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1.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1.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1.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1.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1.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1.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1.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1.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1.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1.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1.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1.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1.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1.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1.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1.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21.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21.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55">
    <mergeCell ref="A1:R1"/>
    <mergeCell ref="A2:R2"/>
    <mergeCell ref="D4:I4"/>
    <mergeCell ref="M4:R4"/>
    <mergeCell ref="D5:I5"/>
    <mergeCell ref="M5:R5"/>
    <mergeCell ref="D6:I6"/>
    <mergeCell ref="M6:R6"/>
    <mergeCell ref="A8:I8"/>
    <mergeCell ref="J8:R8"/>
    <mergeCell ref="A9:C9"/>
    <mergeCell ref="D9:G9"/>
    <mergeCell ref="H9:I9"/>
    <mergeCell ref="J9:L9"/>
    <mergeCell ref="M9:P9"/>
    <mergeCell ref="Q9:R9"/>
    <mergeCell ref="Q12:R12"/>
    <mergeCell ref="A10:C10"/>
    <mergeCell ref="D10:G10"/>
    <mergeCell ref="H10:I10"/>
    <mergeCell ref="J10:L10"/>
    <mergeCell ref="M10:P10"/>
    <mergeCell ref="Q10:R10"/>
    <mergeCell ref="A11:C11"/>
    <mergeCell ref="A12:C12"/>
    <mergeCell ref="D12:G12"/>
    <mergeCell ref="H12:I12"/>
    <mergeCell ref="J12:L12"/>
    <mergeCell ref="M12:P12"/>
    <mergeCell ref="Q15:R15"/>
    <mergeCell ref="A13:C13"/>
    <mergeCell ref="D13:G13"/>
    <mergeCell ref="H13:I13"/>
    <mergeCell ref="J13:L13"/>
    <mergeCell ref="M13:P13"/>
    <mergeCell ref="Q13:R13"/>
    <mergeCell ref="A14:C14"/>
    <mergeCell ref="A15:C15"/>
    <mergeCell ref="D15:G15"/>
    <mergeCell ref="H15:I15"/>
    <mergeCell ref="J15:L15"/>
    <mergeCell ref="M15:P15"/>
    <mergeCell ref="Q17:R17"/>
    <mergeCell ref="A16:C16"/>
    <mergeCell ref="D16:G16"/>
    <mergeCell ref="H16:I16"/>
    <mergeCell ref="J16:L16"/>
    <mergeCell ref="M16:P16"/>
    <mergeCell ref="Q16:R16"/>
    <mergeCell ref="M19:P19"/>
    <mergeCell ref="A17:C17"/>
    <mergeCell ref="D17:G17"/>
    <mergeCell ref="H17:I17"/>
    <mergeCell ref="J17:L17"/>
    <mergeCell ref="M17:P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21B1-F5E3-4045-BF81-BEC36061A7D2}">
  <dimension ref="A1:L186"/>
  <sheetViews>
    <sheetView tabSelected="1" topLeftCell="A166" workbookViewId="0">
      <selection activeCell="B175" sqref="B175"/>
    </sheetView>
  </sheetViews>
  <sheetFormatPr defaultRowHeight="14.4"/>
  <cols>
    <col min="1" max="1" width="12.44140625" bestFit="1" customWidth="1"/>
    <col min="2" max="2" width="11.6640625" customWidth="1"/>
    <col min="3" max="3" width="32.5546875" customWidth="1"/>
    <col min="4" max="4" width="44.109375" customWidth="1"/>
    <col min="5" max="5" width="18" customWidth="1"/>
    <col min="6" max="6" width="20" customWidth="1"/>
    <col min="7" max="7" width="20.109375" customWidth="1"/>
    <col min="10" max="10" width="37.109375" customWidth="1"/>
    <col min="11" max="11" width="13.5546875" customWidth="1"/>
    <col min="12" max="12" width="13.21875" customWidth="1"/>
  </cols>
  <sheetData>
    <row r="1" spans="1:12">
      <c r="B1" t="s">
        <v>198</v>
      </c>
    </row>
    <row r="2" spans="1:12">
      <c r="B2" t="s">
        <v>119</v>
      </c>
      <c r="C2" t="s">
        <v>120</v>
      </c>
      <c r="D2" t="s">
        <v>121</v>
      </c>
    </row>
    <row r="3" spans="1:12">
      <c r="B3" s="48">
        <v>1</v>
      </c>
      <c r="C3" s="48" t="s">
        <v>136</v>
      </c>
      <c r="D3" s="48" t="s">
        <v>137</v>
      </c>
      <c r="E3" s="48"/>
      <c r="F3" s="48"/>
      <c r="G3" s="48"/>
      <c r="H3" s="48"/>
      <c r="I3" s="48"/>
      <c r="J3" s="48" t="s">
        <v>176</v>
      </c>
      <c r="K3" s="45" t="s">
        <v>177</v>
      </c>
      <c r="L3" s="45" t="s">
        <v>178</v>
      </c>
    </row>
    <row r="4" spans="1:12">
      <c r="A4" t="s">
        <v>214</v>
      </c>
      <c r="B4" s="44">
        <v>1.1000000000000001</v>
      </c>
      <c r="C4" t="s">
        <v>76</v>
      </c>
      <c r="D4" t="s">
        <v>217</v>
      </c>
      <c r="J4" s="49" t="s">
        <v>197</v>
      </c>
    </row>
    <row r="5" spans="1:12">
      <c r="A5" t="s">
        <v>214</v>
      </c>
      <c r="B5" s="44">
        <v>1.2</v>
      </c>
      <c r="C5" t="s">
        <v>77</v>
      </c>
    </row>
    <row r="6" spans="1:12">
      <c r="A6" t="s">
        <v>214</v>
      </c>
      <c r="B6" s="44">
        <v>1.3</v>
      </c>
      <c r="C6" t="s">
        <v>78</v>
      </c>
    </row>
    <row r="7" spans="1:12">
      <c r="A7" t="s">
        <v>214</v>
      </c>
      <c r="B7" s="44">
        <v>1.4</v>
      </c>
      <c r="C7" t="s">
        <v>79</v>
      </c>
      <c r="D7" t="s">
        <v>80</v>
      </c>
    </row>
    <row r="8" spans="1:12">
      <c r="A8" t="s">
        <v>214</v>
      </c>
      <c r="B8" s="44"/>
      <c r="D8" t="s">
        <v>81</v>
      </c>
    </row>
    <row r="9" spans="1:12">
      <c r="A9" t="s">
        <v>214</v>
      </c>
      <c r="B9" s="44"/>
      <c r="D9" t="s">
        <v>84</v>
      </c>
    </row>
    <row r="10" spans="1:12">
      <c r="A10" t="s">
        <v>214</v>
      </c>
      <c r="B10" s="44"/>
      <c r="D10" t="s">
        <v>82</v>
      </c>
    </row>
    <row r="11" spans="1:12">
      <c r="A11" t="s">
        <v>214</v>
      </c>
      <c r="B11" s="44"/>
      <c r="D11" t="s">
        <v>83</v>
      </c>
    </row>
    <row r="12" spans="1:12">
      <c r="A12" s="46" t="s">
        <v>221</v>
      </c>
      <c r="B12" s="44"/>
      <c r="D12" t="s">
        <v>215</v>
      </c>
      <c r="E12" s="123" t="s">
        <v>218</v>
      </c>
    </row>
    <row r="13" spans="1:12">
      <c r="A13" s="46" t="s">
        <v>221</v>
      </c>
      <c r="B13" s="44"/>
      <c r="D13" t="s">
        <v>216</v>
      </c>
      <c r="E13" s="124"/>
    </row>
    <row r="14" spans="1:12">
      <c r="B14" s="44"/>
    </row>
    <row r="15" spans="1:12">
      <c r="B15" s="44"/>
    </row>
    <row r="16" spans="1:12">
      <c r="A16" t="s">
        <v>214</v>
      </c>
      <c r="B16" s="44">
        <v>1.5</v>
      </c>
      <c r="C16" t="s">
        <v>85</v>
      </c>
      <c r="D16" s="46" t="s">
        <v>237</v>
      </c>
    </row>
    <row r="17" spans="1:9">
      <c r="A17" t="s">
        <v>214</v>
      </c>
      <c r="B17" s="44">
        <v>1.6</v>
      </c>
      <c r="C17" t="s">
        <v>236</v>
      </c>
      <c r="D17" s="46" t="s">
        <v>237</v>
      </c>
    </row>
    <row r="18" spans="1:9">
      <c r="A18" t="s">
        <v>214</v>
      </c>
      <c r="B18" s="44">
        <v>1.7</v>
      </c>
      <c r="C18" t="s">
        <v>116</v>
      </c>
    </row>
    <row r="19" spans="1:9">
      <c r="A19" t="s">
        <v>214</v>
      </c>
      <c r="B19" s="44">
        <v>1.8</v>
      </c>
      <c r="C19" t="s">
        <v>86</v>
      </c>
    </row>
    <row r="20" spans="1:9">
      <c r="A20" t="s">
        <v>214</v>
      </c>
      <c r="B20" s="44">
        <v>1.9</v>
      </c>
      <c r="C20" t="s">
        <v>115</v>
      </c>
      <c r="D20" s="47" t="s">
        <v>87</v>
      </c>
    </row>
    <row r="21" spans="1:9">
      <c r="B21" s="44"/>
      <c r="D21" t="s">
        <v>154</v>
      </c>
    </row>
    <row r="22" spans="1:9">
      <c r="B22" s="44"/>
      <c r="D22" t="s">
        <v>155</v>
      </c>
    </row>
    <row r="23" spans="1:9">
      <c r="B23" s="44"/>
      <c r="D23" t="s">
        <v>113</v>
      </c>
    </row>
    <row r="24" spans="1:9">
      <c r="B24" s="44"/>
      <c r="D24" t="s">
        <v>109</v>
      </c>
      <c r="E24" t="s">
        <v>106</v>
      </c>
      <c r="F24" t="s">
        <v>114</v>
      </c>
      <c r="G24" t="s">
        <v>108</v>
      </c>
      <c r="H24" t="s">
        <v>87</v>
      </c>
      <c r="I24" t="s">
        <v>108</v>
      </c>
    </row>
    <row r="25" spans="1:9">
      <c r="B25" s="44"/>
      <c r="D25" t="s">
        <v>110</v>
      </c>
      <c r="E25" t="s">
        <v>106</v>
      </c>
      <c r="F25" t="s">
        <v>114</v>
      </c>
      <c r="G25" t="s">
        <v>108</v>
      </c>
      <c r="H25" t="s">
        <v>87</v>
      </c>
      <c r="I25" t="s">
        <v>108</v>
      </c>
    </row>
    <row r="26" spans="1:9">
      <c r="B26" s="44"/>
      <c r="D26" t="s">
        <v>111</v>
      </c>
      <c r="E26" t="s">
        <v>106</v>
      </c>
      <c r="F26" t="s">
        <v>114</v>
      </c>
      <c r="G26" t="s">
        <v>108</v>
      </c>
      <c r="H26" t="s">
        <v>87</v>
      </c>
      <c r="I26" t="s">
        <v>108</v>
      </c>
    </row>
    <row r="27" spans="1:9">
      <c r="B27" s="43">
        <v>1.1000000000000001</v>
      </c>
      <c r="C27" t="s">
        <v>184</v>
      </c>
    </row>
    <row r="28" spans="1:9">
      <c r="B28" s="44" t="s">
        <v>228</v>
      </c>
      <c r="C28" t="s">
        <v>229</v>
      </c>
      <c r="D28" t="s">
        <v>227</v>
      </c>
      <c r="E28" t="s">
        <v>181</v>
      </c>
    </row>
    <row r="29" spans="1:9">
      <c r="B29" s="44"/>
      <c r="D29" t="s">
        <v>226</v>
      </c>
      <c r="E29" t="s">
        <v>230</v>
      </c>
    </row>
    <row r="30" spans="1:9">
      <c r="B30" s="44"/>
      <c r="D30" t="s">
        <v>225</v>
      </c>
      <c r="E30" t="s">
        <v>233</v>
      </c>
      <c r="F30" t="s">
        <v>232</v>
      </c>
      <c r="G30" t="s">
        <v>235</v>
      </c>
    </row>
    <row r="31" spans="1:9">
      <c r="B31" s="44"/>
      <c r="F31" t="s">
        <v>231</v>
      </c>
      <c r="G31" t="s">
        <v>235</v>
      </c>
    </row>
    <row r="32" spans="1:9">
      <c r="B32" s="44"/>
      <c r="C32" t="s">
        <v>224</v>
      </c>
      <c r="D32" t="s">
        <v>182</v>
      </c>
      <c r="F32" t="s">
        <v>234</v>
      </c>
    </row>
    <row r="33" spans="1:6">
      <c r="B33" s="44"/>
      <c r="D33" t="s">
        <v>183</v>
      </c>
    </row>
    <row r="34" spans="1:6">
      <c r="B34" s="44"/>
    </row>
    <row r="35" spans="1:6">
      <c r="B35" s="44"/>
    </row>
    <row r="36" spans="1:6">
      <c r="B36" s="43">
        <v>1.1100000000000001</v>
      </c>
      <c r="C36" t="s">
        <v>88</v>
      </c>
    </row>
    <row r="37" spans="1:6">
      <c r="B37" s="43">
        <v>1.1200000000000001</v>
      </c>
      <c r="C37" t="s">
        <v>89</v>
      </c>
    </row>
    <row r="38" spans="1:6">
      <c r="B38" s="43">
        <v>1.1299999999999999</v>
      </c>
      <c r="C38" t="s">
        <v>117</v>
      </c>
      <c r="D38" t="s">
        <v>118</v>
      </c>
    </row>
    <row r="39" spans="1:6">
      <c r="B39" s="43">
        <v>1.1399999999999999</v>
      </c>
      <c r="C39" t="s">
        <v>90</v>
      </c>
      <c r="D39" t="s">
        <v>152</v>
      </c>
    </row>
    <row r="40" spans="1:6">
      <c r="D40" t="s">
        <v>91</v>
      </c>
    </row>
    <row r="41" spans="1:6">
      <c r="A41" s="46" t="s">
        <v>221</v>
      </c>
      <c r="D41" t="s">
        <v>92</v>
      </c>
      <c r="E41" s="46" t="s">
        <v>239</v>
      </c>
      <c r="F41" t="s">
        <v>240</v>
      </c>
    </row>
    <row r="42" spans="1:6">
      <c r="D42" t="s">
        <v>153</v>
      </c>
    </row>
    <row r="44" spans="1:6">
      <c r="B44" s="43">
        <v>1.1499999999999999</v>
      </c>
      <c r="C44" t="s">
        <v>93</v>
      </c>
      <c r="D44" t="s">
        <v>180</v>
      </c>
    </row>
    <row r="45" spans="1:6">
      <c r="B45">
        <v>1.1599999999999999</v>
      </c>
      <c r="C45" t="s">
        <v>104</v>
      </c>
    </row>
    <row r="46" spans="1:6">
      <c r="B46" s="43"/>
      <c r="C46" t="s">
        <v>105</v>
      </c>
    </row>
    <row r="47" spans="1:6">
      <c r="B47" s="43"/>
      <c r="C47" t="s">
        <v>109</v>
      </c>
      <c r="D47" t="s">
        <v>106</v>
      </c>
      <c r="E47" t="s">
        <v>107</v>
      </c>
      <c r="F47" t="s">
        <v>108</v>
      </c>
    </row>
    <row r="48" spans="1:6">
      <c r="B48" s="43"/>
      <c r="C48" t="s">
        <v>110</v>
      </c>
      <c r="D48" t="s">
        <v>106</v>
      </c>
      <c r="E48" t="s">
        <v>107</v>
      </c>
      <c r="F48" t="s">
        <v>108</v>
      </c>
    </row>
    <row r="49" spans="1:6">
      <c r="B49" s="43"/>
      <c r="C49" t="s">
        <v>111</v>
      </c>
      <c r="D49" t="s">
        <v>106</v>
      </c>
      <c r="E49" t="s">
        <v>107</v>
      </c>
      <c r="F49" t="s">
        <v>108</v>
      </c>
    </row>
    <row r="50" spans="1:6">
      <c r="B50" s="43"/>
      <c r="C50" t="s">
        <v>112</v>
      </c>
      <c r="D50" t="s">
        <v>106</v>
      </c>
      <c r="E50" t="s">
        <v>107</v>
      </c>
      <c r="F50" t="s">
        <v>108</v>
      </c>
    </row>
    <row r="51" spans="1:6">
      <c r="B51" s="43"/>
      <c r="C51" t="s">
        <v>112</v>
      </c>
      <c r="D51" t="s">
        <v>106</v>
      </c>
      <c r="E51" t="s">
        <v>107</v>
      </c>
      <c r="F51" t="s">
        <v>108</v>
      </c>
    </row>
    <row r="52" spans="1:6">
      <c r="B52" s="43">
        <v>1.17</v>
      </c>
      <c r="C52" t="s">
        <v>94</v>
      </c>
      <c r="D52" t="s">
        <v>95</v>
      </c>
      <c r="F52" t="s">
        <v>103</v>
      </c>
    </row>
    <row r="53" spans="1:6">
      <c r="C53" t="s">
        <v>102</v>
      </c>
      <c r="D53" t="s">
        <v>96</v>
      </c>
    </row>
    <row r="54" spans="1:6">
      <c r="C54" s="46" t="s">
        <v>142</v>
      </c>
      <c r="D54" t="s">
        <v>97</v>
      </c>
    </row>
    <row r="55" spans="1:6">
      <c r="D55" t="s">
        <v>98</v>
      </c>
    </row>
    <row r="56" spans="1:6">
      <c r="D56" t="s">
        <v>99</v>
      </c>
    </row>
    <row r="57" spans="1:6">
      <c r="D57" t="s">
        <v>100</v>
      </c>
    </row>
    <row r="58" spans="1:6">
      <c r="D58" t="s">
        <v>101</v>
      </c>
    </row>
    <row r="59" spans="1:6">
      <c r="D59" t="s">
        <v>141</v>
      </c>
    </row>
    <row r="60" spans="1:6" ht="15.6" customHeight="1">
      <c r="D60" t="s">
        <v>179</v>
      </c>
    </row>
    <row r="61" spans="1:6" ht="15.6" customHeight="1">
      <c r="A61" t="s">
        <v>220</v>
      </c>
      <c r="D61" t="s">
        <v>219</v>
      </c>
    </row>
    <row r="62" spans="1:6">
      <c r="B62">
        <v>1.18</v>
      </c>
      <c r="C62" t="s">
        <v>122</v>
      </c>
    </row>
    <row r="63" spans="1:6">
      <c r="B63">
        <v>1.19</v>
      </c>
      <c r="C63" t="s">
        <v>123</v>
      </c>
      <c r="D63" t="s">
        <v>124</v>
      </c>
    </row>
    <row r="64" spans="1:6">
      <c r="B64" s="43">
        <v>1.2</v>
      </c>
      <c r="C64" t="s">
        <v>125</v>
      </c>
      <c r="D64" t="s">
        <v>127</v>
      </c>
    </row>
    <row r="65" spans="2:7">
      <c r="D65" t="s">
        <v>126</v>
      </c>
    </row>
    <row r="66" spans="2:7">
      <c r="D66" t="s">
        <v>128</v>
      </c>
    </row>
    <row r="67" spans="2:7">
      <c r="D67" t="s">
        <v>129</v>
      </c>
    </row>
    <row r="68" spans="2:7">
      <c r="D68" t="s">
        <v>130</v>
      </c>
    </row>
    <row r="69" spans="2:7">
      <c r="B69">
        <v>1.21</v>
      </c>
      <c r="C69" t="s">
        <v>192</v>
      </c>
    </row>
    <row r="70" spans="2:7">
      <c r="C70" t="s">
        <v>189</v>
      </c>
      <c r="D70">
        <v>6</v>
      </c>
      <c r="E70" t="s">
        <v>193</v>
      </c>
      <c r="F70" t="s">
        <v>196</v>
      </c>
    </row>
    <row r="71" spans="2:7">
      <c r="C71" t="s">
        <v>188</v>
      </c>
      <c r="D71">
        <v>30</v>
      </c>
      <c r="E71" t="s">
        <v>193</v>
      </c>
      <c r="F71" t="s">
        <v>194</v>
      </c>
    </row>
    <row r="72" spans="2:7">
      <c r="C72" t="s">
        <v>190</v>
      </c>
      <c r="D72">
        <v>15</v>
      </c>
      <c r="E72" t="s">
        <v>193</v>
      </c>
      <c r="F72" t="s">
        <v>194</v>
      </c>
    </row>
    <row r="73" spans="2:7">
      <c r="C73" t="s">
        <v>191</v>
      </c>
      <c r="D73">
        <v>90</v>
      </c>
      <c r="E73" t="s">
        <v>193</v>
      </c>
      <c r="F73" t="s">
        <v>194</v>
      </c>
    </row>
    <row r="74" spans="2:7">
      <c r="C74" s="46" t="s">
        <v>238</v>
      </c>
      <c r="D74">
        <v>15</v>
      </c>
      <c r="E74" t="s">
        <v>193</v>
      </c>
      <c r="F74" t="s">
        <v>194</v>
      </c>
    </row>
    <row r="75" spans="2:7">
      <c r="C75" s="46"/>
    </row>
    <row r="76" spans="2:7">
      <c r="C76" t="s">
        <v>195</v>
      </c>
    </row>
    <row r="77" spans="2:7">
      <c r="B77">
        <v>2</v>
      </c>
      <c r="C77" t="s">
        <v>199</v>
      </c>
      <c r="D77" t="s">
        <v>200</v>
      </c>
      <c r="E77" t="s">
        <v>201</v>
      </c>
      <c r="F77" t="s">
        <v>207</v>
      </c>
      <c r="G77" t="s">
        <v>209</v>
      </c>
    </row>
    <row r="78" spans="2:7">
      <c r="E78" t="s">
        <v>202</v>
      </c>
      <c r="F78" t="s">
        <v>208</v>
      </c>
      <c r="G78" t="s">
        <v>210</v>
      </c>
    </row>
    <row r="79" spans="2:7">
      <c r="E79" t="s">
        <v>203</v>
      </c>
      <c r="F79" t="s">
        <v>206</v>
      </c>
      <c r="G79" t="s">
        <v>210</v>
      </c>
    </row>
    <row r="80" spans="2:7">
      <c r="E80" t="s">
        <v>204</v>
      </c>
      <c r="F80" t="s">
        <v>205</v>
      </c>
      <c r="G80" t="s">
        <v>210</v>
      </c>
    </row>
    <row r="81" spans="2:7">
      <c r="B81">
        <v>3</v>
      </c>
      <c r="C81" t="s">
        <v>211</v>
      </c>
      <c r="D81" t="s">
        <v>212</v>
      </c>
    </row>
    <row r="82" spans="2:7">
      <c r="D82" t="s">
        <v>213</v>
      </c>
    </row>
    <row r="83" spans="2:7">
      <c r="B83">
        <v>4</v>
      </c>
      <c r="C83" t="s">
        <v>222</v>
      </c>
      <c r="D83" t="s">
        <v>223</v>
      </c>
    </row>
    <row r="88" spans="2:7" ht="15.6" customHeight="1">
      <c r="B88" s="45">
        <v>2</v>
      </c>
      <c r="C88" s="45" t="s">
        <v>138</v>
      </c>
      <c r="D88" s="45" t="s">
        <v>186</v>
      </c>
      <c r="E88" s="45"/>
      <c r="F88" s="45" t="s">
        <v>156</v>
      </c>
      <c r="G88" s="45"/>
    </row>
    <row r="89" spans="2:7">
      <c r="B89" s="51">
        <v>2.1</v>
      </c>
      <c r="C89" s="52" t="s">
        <v>246</v>
      </c>
      <c r="D89" t="s">
        <v>242</v>
      </c>
      <c r="E89" t="s">
        <v>247</v>
      </c>
      <c r="F89" t="s">
        <v>250</v>
      </c>
    </row>
    <row r="90" spans="2:7">
      <c r="E90" t="s">
        <v>248</v>
      </c>
      <c r="F90" t="s">
        <v>249</v>
      </c>
      <c r="G90" t="s">
        <v>251</v>
      </c>
    </row>
    <row r="92" spans="2:7">
      <c r="D92" t="s">
        <v>252</v>
      </c>
      <c r="E92" t="s">
        <v>253</v>
      </c>
    </row>
    <row r="93" spans="2:7">
      <c r="D93" t="s">
        <v>243</v>
      </c>
      <c r="E93" t="s">
        <v>244</v>
      </c>
      <c r="F93" t="s">
        <v>257</v>
      </c>
    </row>
    <row r="94" spans="2:7">
      <c r="F94" s="46" t="s">
        <v>254</v>
      </c>
    </row>
    <row r="95" spans="2:7">
      <c r="F95" t="s">
        <v>255</v>
      </c>
    </row>
    <row r="96" spans="2:7">
      <c r="B96" s="51">
        <v>2.2000000000000002</v>
      </c>
      <c r="C96" s="52" t="s">
        <v>245</v>
      </c>
      <c r="F96" t="s">
        <v>256</v>
      </c>
    </row>
    <row r="97" spans="1:9">
      <c r="C97">
        <v>2.1</v>
      </c>
      <c r="D97" t="s">
        <v>187</v>
      </c>
      <c r="E97" s="53" t="s">
        <v>185</v>
      </c>
      <c r="F97" s="46" t="s">
        <v>260</v>
      </c>
    </row>
    <row r="98" spans="1:9">
      <c r="C98">
        <v>2.2000000000000002</v>
      </c>
      <c r="D98" t="s">
        <v>139</v>
      </c>
      <c r="E98" s="50"/>
      <c r="F98" s="46" t="s">
        <v>259</v>
      </c>
    </row>
    <row r="99" spans="1:9">
      <c r="C99">
        <v>2.2999999999999998</v>
      </c>
      <c r="D99" t="s">
        <v>140</v>
      </c>
      <c r="E99" s="50"/>
    </row>
    <row r="100" spans="1:9">
      <c r="C100">
        <v>2.4</v>
      </c>
      <c r="D100" t="s">
        <v>16</v>
      </c>
    </row>
    <row r="101" spans="1:9">
      <c r="C101" s="43">
        <v>2.5</v>
      </c>
      <c r="D101" t="s">
        <v>169</v>
      </c>
    </row>
    <row r="103" spans="1:9">
      <c r="B103" s="51">
        <v>2.2999999999999998</v>
      </c>
      <c r="C103" s="51" t="s">
        <v>149</v>
      </c>
    </row>
    <row r="104" spans="1:9">
      <c r="C104">
        <v>2.7</v>
      </c>
      <c r="D104" t="s">
        <v>149</v>
      </c>
      <c r="E104" t="s">
        <v>151</v>
      </c>
    </row>
    <row r="105" spans="1:9">
      <c r="C105">
        <v>2.5</v>
      </c>
      <c r="D105" t="s">
        <v>150</v>
      </c>
    </row>
    <row r="106" spans="1:9">
      <c r="C106">
        <v>2.6</v>
      </c>
      <c r="D106" t="s">
        <v>241</v>
      </c>
    </row>
    <row r="107" spans="1:9">
      <c r="C107">
        <v>2.9</v>
      </c>
      <c r="D107" t="s">
        <v>113</v>
      </c>
    </row>
    <row r="108" spans="1:9">
      <c r="D108" t="s">
        <v>109</v>
      </c>
      <c r="E108" t="s">
        <v>106</v>
      </c>
      <c r="F108" t="s">
        <v>114</v>
      </c>
      <c r="G108" t="s">
        <v>108</v>
      </c>
      <c r="H108" t="s">
        <v>87</v>
      </c>
      <c r="I108" t="s">
        <v>108</v>
      </c>
    </row>
    <row r="109" spans="1:9">
      <c r="D109" t="s">
        <v>110</v>
      </c>
      <c r="E109" t="s">
        <v>106</v>
      </c>
      <c r="F109" t="s">
        <v>114</v>
      </c>
      <c r="G109" t="s">
        <v>108</v>
      </c>
      <c r="H109" t="s">
        <v>87</v>
      </c>
      <c r="I109" t="s">
        <v>108</v>
      </c>
    </row>
    <row r="110" spans="1:9">
      <c r="D110" t="s">
        <v>111</v>
      </c>
      <c r="E110" t="s">
        <v>106</v>
      </c>
      <c r="F110" t="s">
        <v>114</v>
      </c>
      <c r="G110" t="s">
        <v>108</v>
      </c>
      <c r="H110" t="s">
        <v>87</v>
      </c>
      <c r="I110" t="s">
        <v>108</v>
      </c>
    </row>
    <row r="111" spans="1:9">
      <c r="A111" s="127" t="s">
        <v>297</v>
      </c>
      <c r="B111" s="127"/>
      <c r="C111" s="127">
        <v>2.1</v>
      </c>
      <c r="D111" s="127" t="s">
        <v>290</v>
      </c>
      <c r="E111" s="127"/>
      <c r="F111" s="127"/>
      <c r="G111" s="127"/>
      <c r="H111" s="127"/>
      <c r="I111" s="127"/>
    </row>
    <row r="112" spans="1:9">
      <c r="D112" t="s">
        <v>298</v>
      </c>
    </row>
    <row r="113" spans="2:6">
      <c r="D113" t="s">
        <v>291</v>
      </c>
    </row>
    <row r="114" spans="2:6">
      <c r="D114" t="s">
        <v>292</v>
      </c>
    </row>
    <row r="115" spans="2:6">
      <c r="D115" t="s">
        <v>293</v>
      </c>
    </row>
    <row r="116" spans="2:6">
      <c r="D116" t="s">
        <v>294</v>
      </c>
    </row>
    <row r="117" spans="2:6">
      <c r="D117" t="s">
        <v>295</v>
      </c>
    </row>
    <row r="118" spans="2:6">
      <c r="D118" t="s">
        <v>296</v>
      </c>
    </row>
    <row r="120" spans="2:6">
      <c r="B120" s="45">
        <v>3</v>
      </c>
      <c r="C120" s="45" t="s">
        <v>258</v>
      </c>
      <c r="D120" s="45" t="s">
        <v>19</v>
      </c>
      <c r="E120" s="45"/>
      <c r="F120" s="45"/>
    </row>
    <row r="121" spans="2:6">
      <c r="C121" t="s">
        <v>174</v>
      </c>
      <c r="D121" t="s">
        <v>170</v>
      </c>
    </row>
    <row r="122" spans="2:6">
      <c r="C122" t="s">
        <v>173</v>
      </c>
      <c r="D122" t="s">
        <v>171</v>
      </c>
      <c r="E122" s="46" t="s">
        <v>175</v>
      </c>
    </row>
    <row r="123" spans="2:6">
      <c r="C123" t="s">
        <v>173</v>
      </c>
      <c r="D123" t="s">
        <v>172</v>
      </c>
      <c r="E123" s="46" t="s">
        <v>175</v>
      </c>
    </row>
    <row r="124" spans="2:6">
      <c r="D124" t="s">
        <v>143</v>
      </c>
      <c r="E124" s="46" t="s">
        <v>142</v>
      </c>
    </row>
    <row r="125" spans="2:6">
      <c r="D125" t="s">
        <v>144</v>
      </c>
    </row>
    <row r="126" spans="2:6">
      <c r="D126" t="s">
        <v>145</v>
      </c>
    </row>
    <row r="127" spans="2:6">
      <c r="D127" t="s">
        <v>146</v>
      </c>
      <c r="E127" t="s">
        <v>147</v>
      </c>
    </row>
    <row r="128" spans="2:6">
      <c r="D128" t="s">
        <v>168</v>
      </c>
    </row>
    <row r="130" spans="1:6">
      <c r="A130" s="128">
        <v>25156</v>
      </c>
      <c r="B130">
        <v>3.1</v>
      </c>
      <c r="C130" t="s">
        <v>306</v>
      </c>
      <c r="D130" s="129" t="s">
        <v>308</v>
      </c>
    </row>
    <row r="131" spans="1:6">
      <c r="A131" s="128">
        <v>25156</v>
      </c>
      <c r="B131">
        <v>3.2</v>
      </c>
      <c r="C131" t="s">
        <v>307</v>
      </c>
      <c r="D131" s="129" t="s">
        <v>308</v>
      </c>
    </row>
    <row r="136" spans="1:6">
      <c r="B136" s="45">
        <v>4</v>
      </c>
      <c r="C136" s="45" t="s">
        <v>148</v>
      </c>
      <c r="D136" s="45"/>
      <c r="E136" s="45"/>
      <c r="F136" s="45"/>
    </row>
    <row r="137" spans="1:6">
      <c r="C137" t="s">
        <v>157</v>
      </c>
    </row>
    <row r="138" spans="1:6">
      <c r="C138" t="s">
        <v>158</v>
      </c>
    </row>
    <row r="142" spans="1:6">
      <c r="B142" s="45">
        <v>5</v>
      </c>
      <c r="C142" s="45" t="s">
        <v>164</v>
      </c>
      <c r="D142" s="45"/>
      <c r="E142" s="45"/>
      <c r="F142" s="45"/>
    </row>
    <row r="143" spans="1:6">
      <c r="C143" t="s">
        <v>161</v>
      </c>
    </row>
    <row r="144" spans="1:6">
      <c r="C144" t="s">
        <v>163</v>
      </c>
      <c r="D144" t="s">
        <v>165</v>
      </c>
    </row>
    <row r="145" spans="1:6">
      <c r="C145" t="s">
        <v>167</v>
      </c>
      <c r="D145" t="s">
        <v>166</v>
      </c>
    </row>
    <row r="146" spans="1:6">
      <c r="C146" t="s">
        <v>162</v>
      </c>
    </row>
    <row r="147" spans="1:6">
      <c r="C147" t="s">
        <v>163</v>
      </c>
      <c r="D147" t="s">
        <v>165</v>
      </c>
    </row>
    <row r="148" spans="1:6">
      <c r="C148" t="s">
        <v>167</v>
      </c>
      <c r="D148" t="s">
        <v>166</v>
      </c>
    </row>
    <row r="150" spans="1:6">
      <c r="A150" s="127" t="s">
        <v>297</v>
      </c>
      <c r="B150" s="127">
        <v>6</v>
      </c>
      <c r="C150" s="127" t="s">
        <v>261</v>
      </c>
      <c r="D150" s="127"/>
      <c r="E150" s="127"/>
      <c r="F150" s="127"/>
    </row>
    <row r="151" spans="1:6">
      <c r="B151">
        <v>6.1</v>
      </c>
      <c r="C151" t="s">
        <v>278</v>
      </c>
      <c r="D151" t="s">
        <v>282</v>
      </c>
      <c r="E151" t="s">
        <v>283</v>
      </c>
    </row>
    <row r="152" spans="1:6">
      <c r="D152" t="s">
        <v>279</v>
      </c>
      <c r="E152" t="s">
        <v>284</v>
      </c>
    </row>
    <row r="153" spans="1:6">
      <c r="D153" t="s">
        <v>280</v>
      </c>
      <c r="E153" t="s">
        <v>285</v>
      </c>
    </row>
    <row r="154" spans="1:6">
      <c r="D154" t="s">
        <v>281</v>
      </c>
      <c r="E154" t="s">
        <v>286</v>
      </c>
      <c r="F154" t="s">
        <v>289</v>
      </c>
    </row>
    <row r="155" spans="1:6">
      <c r="E155" t="s">
        <v>287</v>
      </c>
      <c r="F155" t="s">
        <v>288</v>
      </c>
    </row>
    <row r="159" spans="1:6" ht="15" customHeight="1">
      <c r="B159">
        <v>6.2</v>
      </c>
      <c r="C159" t="s">
        <v>262</v>
      </c>
    </row>
    <row r="160" spans="1:6">
      <c r="B160">
        <v>6.3</v>
      </c>
      <c r="C160" t="s">
        <v>263</v>
      </c>
      <c r="D160" t="s">
        <v>265</v>
      </c>
    </row>
    <row r="161" spans="2:6">
      <c r="D161" s="125" t="s">
        <v>264</v>
      </c>
      <c r="E161" s="125">
        <v>24</v>
      </c>
      <c r="F161" s="125" t="s">
        <v>266</v>
      </c>
    </row>
    <row r="162" spans="2:6">
      <c r="D162" s="126" t="s">
        <v>271</v>
      </c>
      <c r="E162" s="126"/>
      <c r="F162" s="126"/>
    </row>
    <row r="163" spans="2:6">
      <c r="D163" t="s">
        <v>267</v>
      </c>
      <c r="E163">
        <v>3</v>
      </c>
    </row>
    <row r="164" spans="2:6">
      <c r="D164" t="s">
        <v>268</v>
      </c>
      <c r="E164">
        <v>1</v>
      </c>
    </row>
    <row r="165" spans="2:6">
      <c r="D165" t="s">
        <v>277</v>
      </c>
      <c r="E165">
        <v>2</v>
      </c>
    </row>
    <row r="166" spans="2:6">
      <c r="D166" t="s">
        <v>269</v>
      </c>
      <c r="E166">
        <v>3</v>
      </c>
    </row>
    <row r="167" spans="2:6">
      <c r="D167" t="s">
        <v>270</v>
      </c>
      <c r="E167">
        <v>4</v>
      </c>
    </row>
    <row r="168" spans="2:6">
      <c r="D168" t="s">
        <v>272</v>
      </c>
      <c r="E168">
        <v>3</v>
      </c>
    </row>
    <row r="169" spans="2:6">
      <c r="D169" t="s">
        <v>273</v>
      </c>
      <c r="E169">
        <v>3</v>
      </c>
    </row>
    <row r="170" spans="2:6">
      <c r="D170" t="s">
        <v>274</v>
      </c>
      <c r="E170">
        <v>1</v>
      </c>
    </row>
    <row r="171" spans="2:6">
      <c r="D171" t="s">
        <v>276</v>
      </c>
      <c r="E171">
        <v>1</v>
      </c>
    </row>
    <row r="172" spans="2:6">
      <c r="D172" t="s">
        <v>275</v>
      </c>
      <c r="E172">
        <v>3</v>
      </c>
    </row>
    <row r="174" spans="2:6">
      <c r="B174">
        <v>6.3</v>
      </c>
      <c r="C174" t="s">
        <v>299</v>
      </c>
    </row>
    <row r="175" spans="2:6">
      <c r="C175" t="s">
        <v>300</v>
      </c>
    </row>
    <row r="176" spans="2:6">
      <c r="C176" t="s">
        <v>301</v>
      </c>
    </row>
    <row r="177" spans="2:4">
      <c r="C177" t="s">
        <v>302</v>
      </c>
    </row>
    <row r="178" spans="2:4">
      <c r="C178" s="127" t="s">
        <v>303</v>
      </c>
      <c r="D178" s="127" t="s">
        <v>304</v>
      </c>
    </row>
    <row r="179" spans="2:4">
      <c r="C179" s="128">
        <v>244350</v>
      </c>
      <c r="D179" t="s">
        <v>305</v>
      </c>
    </row>
    <row r="180" spans="2:4">
      <c r="C180" s="128">
        <v>244351</v>
      </c>
      <c r="D180" t="s">
        <v>305</v>
      </c>
    </row>
    <row r="186" spans="2:4">
      <c r="B186" s="130" t="s">
        <v>309</v>
      </c>
      <c r="C186" s="131">
        <v>244313</v>
      </c>
      <c r="D186" s="130" t="s">
        <v>310</v>
      </c>
    </row>
  </sheetData>
  <mergeCells count="1">
    <mergeCell ref="E12:E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Payroll</vt:lpstr>
      <vt:lpstr>Slip</vt:lpstr>
      <vt:lpstr>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2025-10-17T09:55:43Z</dcterms:created>
  <dcterms:modified xsi:type="dcterms:W3CDTF">2025-11-14T03:30:03Z</dcterms:modified>
</cp:coreProperties>
</file>